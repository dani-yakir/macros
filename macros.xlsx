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dict!$A$1:$G$54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<sst xmlns="http://schemas.openxmlformats.org/spreadsheetml/2006/main" count="112" uniqueCount="67">
  <si>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</si>
  <si>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</si>
  <si>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</si>
  <si>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</si>
  <si>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</si>
  <si>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</si>
  <si>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</si>
  <si>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</si>
  <si>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</si>
  <si>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</si>
  <si>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</si>
  <si>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ביצה</t>
  </si>
  <si>
    <t>פיתות כוסמין אנג'ל</t>
  </si>
  <si>
    <t>עגלפפון</t>
  </si>
  <si>
    <t>יוגור פרו אחוז וחצי</t>
  </si>
  <si>
    <t>שמן זית</t>
  </si>
  <si>
    <t>פרגית</t>
  </si>
  <si>
    <t>בצל</t>
  </si>
  <si>
    <t>תפוא</t>
  </si>
  <si>
    <t>חזה עוף</t>
  </si>
  <si>
    <t>כוסמת</t>
  </si>
  <si>
    <t>אורז</t>
  </si>
  <si>
    <t>קוואקר</t>
  </si>
  <si>
    <t>קוטג 5</t>
  </si>
  <si>
    <t>חטיף חלבון פיסטוק</t>
  </si>
  <si>
    <t>דבש</t>
  </si>
  <si>
    <t>עוגית חלבון</t>
  </si>
  <si>
    <t>פסטה אוסם</t>
  </si>
  <si>
    <t>_</t>
  </si>
  <si>
    <t>יוגורט פרו זירו</t>
  </si>
  <si>
    <t>פסטרמה</t>
  </si>
  <si>
    <t>אוכל</t>
  </si>
  <si>
    <t>יחידה</t>
  </si>
  <si>
    <t>וולידציה</t>
  </si>
  <si>
    <t>אבקה</t>
  </si>
  <si>
    <t>אולין בוטנים קרמל</t>
  </si>
  <si>
    <t>אצבעות מוצרלה</t>
  </si>
  <si>
    <t>אצבעות עמק</t>
  </si>
  <si>
    <t>בטטה</t>
  </si>
  <si>
    <t>בננה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</si>
  <si>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</si>
  <si>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</si>
  <si>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</si>
  <si>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</si>
  <si>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</si>
  <si>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</si>
  <si>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</si>
  <si>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</si>
  <si>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</si>
  <si>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</si>
  <si>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יוגורט פרו מתוק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</si>
  <si>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</si>
  <si>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</si>
  <si>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</si>
  <si>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</si>
  <si>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</si>
  <si>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</si>
  <si>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</si>
  <si>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</si>
  <si>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</si>
  <si>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</si>
  <si>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</si>
  <si>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פיתות כוסמין מלא</t>
  </si>
  <si>
    <t>קטניות</t>
  </si>
  <si>
    <t>קישוא</t>
  </si>
  <si>
    <t>קמח חיטה</t>
  </si>
  <si>
    <t>תערובת ירוקים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</si>
</sst>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2.0</v>
      </c>
      <c r="C2" s="4">
        <f>VLOOKUP($A2, dict!$A:$F, 3, false) * $B2 / VLOOKUP($A2, dict!$A:$F, 2, false)</f>
        <v>1</v>
      </c>
      <c r="D2" s="4">
        <f>VLOOKUP($A2, dict!$A:$F, 4, false) * $B2 / VLOOKUP($A2, dict!$A:$F, 2, false)</f>
        <v>17</v>
      </c>
      <c r="E2" s="4">
        <f>VLOOKUP($A2, dict!$A:$F, 5, false) * $B2 / VLOOKUP($A2, dict!$A:$F, 2, false)</f>
        <v>13</v>
      </c>
      <c r="F2" s="4">
        <f>VLOOKUP($A2, dict!$A:$F, 6, false) * $B2 / VLOOKUP($A2, dict!$A:$F, 2, false)</f>
        <v>194</v>
      </c>
      <c r="G2" s="4">
        <f t="shared" ref="G2:J2" si="1">SUM(C:C)</f>
        <v>372.61</v>
      </c>
      <c r="H2" s="4">
        <f t="shared" si="1"/>
        <v>224.07</v>
      </c>
      <c r="I2" s="4">
        <f t="shared" si="1"/>
        <v>82.09</v>
      </c>
      <c r="J2" s="4">
        <f t="shared" si="1"/>
        <v>3108.2</v>
      </c>
      <c r="K2" s="4">
        <f>G2*4 + H2*4 + I2*9</f>
        <v>3125.53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41.8</v>
      </c>
      <c r="D3" s="4">
        <f>VLOOKUP($A3, dict!$A:$F, 4, false) * $B3 / VLOOKUP($A3, dict!$A:$F, 2, false)</f>
        <v>10.56</v>
      </c>
      <c r="E3" s="4">
        <f>VLOOKUP($A3, dict!$A:$F, 5, false) * $B3 / VLOOKUP($A3, dict!$A:$F, 2, false)</f>
        <v>1.87</v>
      </c>
      <c r="F3" s="4">
        <f>VLOOKUP($A3, dict!$A:$F, 6, false) * $B3 / VLOOKUP($A3, dict!$A:$F, 2, false)</f>
        <v>237.6</v>
      </c>
    </row>
    <row r="4" ht="15.75" customHeight="1">
      <c r="A4" s="2" t="s">
        <v>13</v>
      </c>
      <c r="B4" s="3">
        <v>180.0</v>
      </c>
      <c r="C4" s="4">
        <f>VLOOKUP($A4, dict!$A:$F, 3, false) * $B4 / VLOOKUP($A4, dict!$A:$F, 2, false)</f>
        <v>6.3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27</v>
      </c>
    </row>
    <row r="5" ht="15.75" customHeight="1">
      <c r="A5" s="2" t="s">
        <v>14</v>
      </c>
      <c r="B5" s="3">
        <v>1.0</v>
      </c>
      <c r="C5" s="4">
        <f>VLOOKUP($A5, dict!$A:$F, 3, false) * $B5 / VLOOKUP($A5, dict!$A:$F, 2, false)</f>
        <v>6.8</v>
      </c>
      <c r="D5" s="4">
        <f>VLOOKUP($A5, dict!$A:$F, 4, false) * $B5 / VLOOKUP($A5, dict!$A:$F, 2, false)</f>
        <v>21</v>
      </c>
      <c r="E5" s="4">
        <f>VLOOKUP($A5, dict!$A:$F, 5, false) * $B5 / VLOOKUP($A5, dict!$A:$F, 2, false)</f>
        <v>3</v>
      </c>
      <c r="F5" s="4">
        <f>VLOOKUP($A5, dict!$A:$F, 6, false) * $B5 / VLOOKUP($A5, dict!$A:$F, 2, false)</f>
        <v>140</v>
      </c>
    </row>
    <row r="6" ht="15.75" customHeight="1">
      <c r="A6" s="2" t="s">
        <v>15</v>
      </c>
      <c r="B6" s="3">
        <v>5.0</v>
      </c>
      <c r="C6" s="4">
        <f>VLOOKUP($A6, dict!$A:$F, 3, false) * $B6 / VLOOKUP($A6, dict!$A:$F, 2, false)</f>
        <v>0</v>
      </c>
      <c r="D6" s="4">
        <f>VLOOKUP($A6, dict!$A:$F, 4, false) * $B6 / VLOOKUP($A6, dict!$A:$F, 2, false)</f>
        <v>0</v>
      </c>
      <c r="E6" s="4">
        <f>VLOOKUP($A6, dict!$A:$F, 5, false) * $B6 / VLOOKUP($A6, dict!$A:$F, 2, false)</f>
        <v>4.6</v>
      </c>
      <c r="F6" s="4">
        <f>VLOOKUP($A6, dict!$A:$F, 6, false) * $B6 / VLOOKUP($A6, dict!$A:$F, 2, false)</f>
        <v>41.5</v>
      </c>
    </row>
    <row r="7" ht="15.75" customHeight="1">
      <c r="A7" s="2" t="s">
        <v>15</v>
      </c>
      <c r="B7" s="3">
        <v>10.0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9.2</v>
      </c>
      <c r="F7" s="4">
        <f>VLOOKUP($A7, dict!$A:$F, 6, false) * $B7 / VLOOKUP($A7, dict!$A:$F, 2, false)</f>
        <v>83</v>
      </c>
    </row>
    <row r="8" ht="15.75" customHeight="1">
      <c r="A8" s="2" t="s">
        <v>16</v>
      </c>
      <c r="B8" s="3">
        <v>100.0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23</v>
      </c>
      <c r="E8" s="4">
        <f>VLOOKUP($A8, dict!$A:$F, 5, false) * $B8 / VLOOKUP($A8, dict!$A:$F, 2, false)</f>
        <v>9</v>
      </c>
      <c r="F8" s="4">
        <f>VLOOKUP($A8, dict!$A:$F, 6, false) * $B8 / VLOOKUP($A8, dict!$A:$F, 2, false)</f>
        <v>175</v>
      </c>
    </row>
    <row r="9" ht="15.75" customHeight="1">
      <c r="A9" s="2" t="s">
        <v>17</v>
      </c>
      <c r="B9" s="3">
        <v>150.0</v>
      </c>
      <c r="C9" s="4">
        <f>VLOOKUP($A9, dict!$A:$F, 3, false) * $B9 / VLOOKUP($A9, dict!$A:$F, 2, false)</f>
        <v>14.01</v>
      </c>
      <c r="D9" s="4">
        <f>VLOOKUP($A9, dict!$A:$F, 4, false) * $B9 / VLOOKUP($A9, dict!$A:$F, 2, false)</f>
        <v>1.65</v>
      </c>
      <c r="E9" s="4">
        <f>VLOOKUP($A9, dict!$A:$F, 5, false) * $B9 / VLOOKUP($A9, dict!$A:$F, 2, false)</f>
        <v>0.15</v>
      </c>
      <c r="F9" s="4">
        <f>VLOOKUP($A9, dict!$A:$F, 6, false) * $B9 / VLOOKUP($A9, dict!$A:$F, 2, false)</f>
        <v>60</v>
      </c>
    </row>
    <row r="10" ht="15.75" customHeight="1">
      <c r="A10" s="2" t="s">
        <v>18</v>
      </c>
      <c r="B10" s="3">
        <v>200.0</v>
      </c>
      <c r="C10" s="4">
        <f>VLOOKUP($A10, dict!$A:$F, 3, false) * $B10 / VLOOKUP($A10, dict!$A:$F, 2, false)</f>
        <v>40</v>
      </c>
      <c r="D10" s="4">
        <f>VLOOKUP($A10, dict!$A:$F, 4, false) * $B10 / VLOOKUP($A10, dict!$A:$F, 2, false)</f>
        <v>3.4</v>
      </c>
      <c r="E10" s="4">
        <f>VLOOKUP($A10, dict!$A:$F, 5, false) * $B10 / VLOOKUP($A10, dict!$A:$F, 2, false)</f>
        <v>0.2</v>
      </c>
      <c r="F10" s="4">
        <f>VLOOKUP($A10, dict!$A:$F, 6, false) * $B10 / VLOOKUP($A10, dict!$A:$F, 2, false)</f>
        <v>172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50.0</v>
      </c>
      <c r="C12" s="4">
        <f>VLOOKUP($A12, dict!$A:$F, 3, false) * $B12 / VLOOKUP($A12, dict!$A:$F, 2, false)</f>
        <v>35.2</v>
      </c>
      <c r="D12" s="4">
        <f>VLOOKUP($A12, dict!$A:$F, 4, false) * $B12 / VLOOKUP($A12, dict!$A:$F, 2, false)</f>
        <v>6</v>
      </c>
      <c r="E12" s="4">
        <f>VLOOKUP($A12, dict!$A:$F, 5, false) * $B12 / VLOOKUP($A12, dict!$A:$F, 2, false)</f>
        <v>1.3</v>
      </c>
      <c r="F12" s="4">
        <f>VLOOKUP($A12, dict!$A:$F, 6, false) * $B12 / VLOOKUP($A12, dict!$A:$F, 2, false)</f>
        <v>176.5</v>
      </c>
    </row>
    <row r="13" ht="15.75" customHeight="1">
      <c r="A13" s="2" t="s">
        <v>21</v>
      </c>
      <c r="B13" s="3">
        <v>50.0</v>
      </c>
      <c r="C13" s="4">
        <f>VLOOKUP($A13, dict!$A:$F, 3, false) * $B13 / VLOOKUP($A13, dict!$A:$F, 2, false)</f>
        <v>39</v>
      </c>
      <c r="D13" s="4">
        <f>VLOOKUP($A13, dict!$A:$F, 4, false) * $B13 / VLOOKUP($A13, dict!$A:$F, 2, false)</f>
        <v>4.4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175</v>
      </c>
    </row>
    <row r="14" ht="15.75" customHeight="1">
      <c r="A14" s="2" t="s">
        <v>22</v>
      </c>
      <c r="B14" s="3">
        <v>50.0</v>
      </c>
      <c r="C14" s="4">
        <f>VLOOKUP($A14, dict!$A:$F, 3, false) * $B14 / VLOOKUP($A14, dict!$A:$F, 2, false)</f>
        <v>34.5</v>
      </c>
      <c r="D14" s="4">
        <f>VLOOKUP($A14, dict!$A:$F, 4, false) * $B14 / VLOOKUP($A14, dict!$A:$F, 2, false)</f>
        <v>5.5</v>
      </c>
      <c r="E14" s="4">
        <f>VLOOKUP($A14, dict!$A:$F, 5, false) * $B14 / VLOOKUP($A14, dict!$A:$F, 2, false)</f>
        <v>4</v>
      </c>
      <c r="F14" s="4">
        <f>VLOOKUP($A14, dict!$A:$F, 6, false) * $B14 / VLOOKUP($A14, dict!$A:$F, 2, false)</f>
        <v>187</v>
      </c>
      <c r="G14" s="4"/>
    </row>
    <row r="15" ht="15.75" customHeight="1">
      <c r="A15" s="2" t="s">
        <v>23</v>
      </c>
      <c r="B15" s="3">
        <v>0.0</v>
      </c>
      <c r="C15" s="4">
        <f>VLOOKUP($A15, dict!$A:$F, 3, false) * $B15 / VLOOKUP($A15, dict!$A:$F, 2, false)</f>
        <v>0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0</v>
      </c>
      <c r="G15" s="4"/>
    </row>
    <row r="16" ht="15.75" customHeight="1">
      <c r="A16" s="2" t="s">
        <v>24</v>
      </c>
      <c r="B16" s="3">
        <v>1.0</v>
      </c>
      <c r="C16" s="4">
        <f>VLOOKUP($A16, dict!$A:$F, 3, false) * $B16 / VLOOKUP($A16, dict!$A:$F, 2, false)</f>
        <v>21.7</v>
      </c>
      <c r="D16" s="4">
        <f>VLOOKUP($A16, dict!$A:$F, 4, false) * $B16 / VLOOKUP($A16, dict!$A:$F, 2, false)</f>
        <v>15</v>
      </c>
      <c r="E16" s="4">
        <f>VLOOKUP($A16, dict!$A:$F, 5, false) * $B16 / VLOOKUP($A16, dict!$A:$F, 2, false)</f>
        <v>10</v>
      </c>
      <c r="F16" s="4">
        <f>VLOOKUP($A16, dict!$A:$F, 6, false) * $B16 / VLOOKUP($A16, dict!$A:$F, 2, false)</f>
        <v>212</v>
      </c>
    </row>
    <row r="17" ht="15.75" customHeight="1">
      <c r="A17" s="2" t="s">
        <v>25</v>
      </c>
      <c r="B17" s="3">
        <v>10.0</v>
      </c>
      <c r="C17" s="4">
        <f>VLOOKUP($A17, dict!$A:$F, 3, false) * $B17 / VLOOKUP($A17, dict!$A:$F, 2, false)</f>
        <v>8</v>
      </c>
      <c r="D17" s="4">
        <f>VLOOKUP($A17, dict!$A:$F, 4, false) * $B17 / VLOOKUP($A17, dict!$A:$F, 2, false)</f>
        <v>0</v>
      </c>
      <c r="E17" s="4">
        <f>VLOOKUP($A17, dict!$A:$F, 5, false) * $B17 / VLOOKUP($A17, dict!$A:$F, 2, false)</f>
        <v>0</v>
      </c>
      <c r="F17" s="4">
        <f>VLOOKUP($A17, dict!$A:$F, 6, false) * $B17 / VLOOKUP($A17, dict!$A:$F, 2, false)</f>
        <v>32</v>
      </c>
    </row>
    <row r="18" ht="15.75" customHeight="1">
      <c r="A18" s="2" t="s">
        <v>22</v>
      </c>
      <c r="B18" s="3">
        <v>0.0</v>
      </c>
      <c r="C18" s="4">
        <f>VLOOKUP($A18, dict!$A:$F, 3, false) * $B18 / VLOOKUP($A18, dict!$A:$F, 2, false)</f>
        <v>0</v>
      </c>
      <c r="D18" s="4">
        <f>VLOOKUP($A18, dict!$A:$F, 4, false) * $B18 / VLOOKUP($A18, dict!$A:$F, 2, false)</f>
        <v>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0</v>
      </c>
    </row>
    <row r="19" ht="15.75" customHeight="1">
      <c r="A19" s="2" t="s">
        <v>26</v>
      </c>
      <c r="B19" s="3">
        <v>0.5</v>
      </c>
      <c r="C19" s="4">
        <f>VLOOKUP($A19, dict!$A:$F, 3, false) * $B19 / VLOOKUP($A19, dict!$A:$F, 2, false)</f>
        <v>11.5</v>
      </c>
      <c r="D19" s="4">
        <f>VLOOKUP($A19, dict!$A:$F, 4, false) * $B19 / VLOOKUP($A19, dict!$A:$F, 2, false)</f>
        <v>7.5</v>
      </c>
      <c r="E19" s="4">
        <f>VLOOKUP($A19, dict!$A:$F, 5, false) * $B19 / VLOOKUP($A19, dict!$A:$F, 2, false)</f>
        <v>4.45</v>
      </c>
      <c r="F19" s="4">
        <f>VLOOKUP($A19, dict!$A:$F, 6, false) * $B19 / VLOOKUP($A19, dict!$A:$F, 2, false)</f>
        <v>106</v>
      </c>
    </row>
    <row r="20" ht="15.75" customHeight="1">
      <c r="A20" s="2" t="s">
        <v>13</v>
      </c>
      <c r="B20" s="5">
        <v>0.0</v>
      </c>
      <c r="C20" s="4">
        <f>VLOOKUP($A20, dict!$A:$F, 3, false) * $B20 / VLOOKUP($A20, dict!$A:$F, 2, false)</f>
        <v>0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0</v>
      </c>
    </row>
    <row r="21" ht="15.75" customHeight="1">
      <c r="A21" s="2" t="s">
        <v>19</v>
      </c>
      <c r="B21" s="5">
        <v>180.0</v>
      </c>
      <c r="C21" s="4">
        <f>VLOOKUP($A21, dict!$A:$F, 3, false) * $B21 / VLOOKUP($A21, dict!$A:$F, 2, false)</f>
        <v>0</v>
      </c>
      <c r="D21" s="4">
        <f>VLOOKUP($A21, dict!$A:$F, 4, false) * $B21 / VLOOKUP($A21, dict!$A:$F, 2, false)</f>
        <v>45</v>
      </c>
      <c r="E21" s="4">
        <f>VLOOKUP($A21, dict!$A:$F, 5, false) * $B21 / VLOOKUP($A21, dict!$A:$F, 2, false)</f>
        <v>4.5</v>
      </c>
      <c r="F21" s="4">
        <f>VLOOKUP($A21, dict!$A:$F, 6, false) * $B21 / VLOOKUP($A21, dict!$A:$F, 2, false)</f>
        <v>216</v>
      </c>
    </row>
    <row r="22" ht="15.75" customHeight="1">
      <c r="A22" s="2" t="s">
        <v>27</v>
      </c>
      <c r="B22" s="5">
        <v>100.0</v>
      </c>
      <c r="C22" s="4">
        <f>VLOOKUP($A22, dict!$A:$F, 3, false) * $B22 / VLOOKUP($A22, dict!$A:$F, 2, false)</f>
        <v>71</v>
      </c>
      <c r="D22" s="4">
        <f>VLOOKUP($A22, dict!$A:$F, 4, false) * $B22 / VLOOKUP($A22, dict!$A:$F, 2, false)</f>
        <v>11</v>
      </c>
      <c r="E22" s="4">
        <f>VLOOKUP($A22, dict!$A:$F, 5, false) * $B22 / VLOOKUP($A22, dict!$A:$F, 2, false)</f>
        <v>1.5</v>
      </c>
      <c r="F22" s="4">
        <f>VLOOKUP($A22, dict!$A:$F, 6, false) * $B22 / VLOOKUP($A22, dict!$A:$F, 2, false)</f>
        <v>349</v>
      </c>
    </row>
    <row r="23" ht="15.75" customHeight="1">
      <c r="A23" s="2" t="s">
        <v>15</v>
      </c>
      <c r="B23" s="5">
        <v>10.0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0</v>
      </c>
      <c r="E23" s="4">
        <f>VLOOKUP($A23, dict!$A:$F, 5, false) * $B23 / VLOOKUP($A23, dict!$A:$F, 2, false)</f>
        <v>9.2</v>
      </c>
      <c r="F23" s="4">
        <f>VLOOKUP($A23, dict!$A:$F, 6, false) * $B23 / VLOOKUP($A23, dict!$A:$F, 2, false)</f>
        <v>83</v>
      </c>
    </row>
    <row r="24" ht="15.75" customHeight="1">
      <c r="A24" s="2" t="s">
        <v>12</v>
      </c>
      <c r="B24" s="5">
        <v>110.0</v>
      </c>
      <c r="C24" s="4">
        <f>VLOOKUP($A24, dict!$A:$F, 3, false) * $B24 / VLOOKUP($A24, dict!$A:$F, 2, false)</f>
        <v>41.8</v>
      </c>
      <c r="D24" s="4">
        <f>VLOOKUP($A24, dict!$A:$F, 4, false) * $B24 / VLOOKUP($A24, dict!$A:$F, 2, false)</f>
        <v>10.56</v>
      </c>
      <c r="E24" s="4">
        <f>VLOOKUP($A24, dict!$A:$F, 5, false) * $B24 / VLOOKUP($A24, dict!$A:$F, 2, false)</f>
        <v>1.87</v>
      </c>
      <c r="F24" s="4">
        <f>VLOOKUP($A24, dict!$A:$F, 6, false) * $B24 / VLOOKUP($A24, dict!$A:$F, 2, false)</f>
        <v>237.6</v>
      </c>
    </row>
    <row r="25" ht="15.75" customHeight="1">
      <c r="A25" s="3" t="s">
        <v>28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12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29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15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28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31</v>
      </c>
      <c r="B1" s="1" t="s">
        <v>32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33</v>
      </c>
    </row>
    <row r="2" ht="15.75" customHeight="1">
      <c r="A2" s="4" t="s">
        <v>28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34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4" si="1">4*C3 + 4*D3 + 9*E3</f>
        <v>113</v>
      </c>
    </row>
    <row r="4" ht="15.75" customHeight="1">
      <c r="A4" s="7" t="s">
        <v>35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36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11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39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40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41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42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25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43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44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24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45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46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47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48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49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14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29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50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51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52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53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54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55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56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57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58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26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59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60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12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61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62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27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16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22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23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63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64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65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15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66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4">
    <sortState ref="A1:G54">
      <sortCondition ref="A1:A54"/>
    </sortState>
  </autoFilter>
  <drawing r:id="rId1"/>
</worksheet>
</file>