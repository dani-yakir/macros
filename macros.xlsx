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od" sheetId="1" r:id="rId4"/>
    <sheet state="visible" name="calc" sheetId="2" r:id="rId5"/>
    <sheet state="visible" name="dict" sheetId="3" r:id="rId6"/>
  </sheets>
  <definedNames>
    <definedName hidden="1" localSheetId="2" name="_xlnm._FilterDatabase">dict!$A$1:$G$62</definedName>
  </definedNames>
  <calcPr/>
  <extLst>
    <ext uri="GoogleSheetsCustomDataVersion2">
      <go:sheetsCustomData xmlns:go="http://customooxmlschemas.google.com/" r:id="rId7" roundtripDataChecksum="oCmiP9eyCRs++EKjKaU5j7rI5rWdwqn21MTZR7brr1I="/>
    </ext>
  </extLst>
</workbook>
</file>

<file path=xl/sharedStrings.xml><?xml version="1.0" encoding="utf-8"?>
<sst xmlns="http://schemas.openxmlformats.org/spreadsheetml/2006/main" count="122" uniqueCount="75">
  <si>
    <t>מאכל</t>
  </si>
  <si>
    <t>יחידות</t>
  </si>
  <si>
    <t>פחמימה</t>
  </si>
  <si>
    <t>חלבון</t>
  </si>
  <si>
    <t>שומן</t>
  </si>
  <si>
    <t>קלוריות</t>
  </si>
  <si>
    <t>סהכ פחמימה</t>
  </si>
  <si>
    <t>סהכ חלבון</t>
  </si>
  <si>
    <t>סהכ שומן</t>
  </si>
  <si>
    <t>סהכ קלוריות</t>
  </si>
  <si>
    <t>ולידציה</t>
  </si>
  <si>
    <t>יוגורט פרו זירו</t>
  </si>
  <si>
    <t>פיתות כוסמין לבן</t>
  </si>
  <si>
    <t>עגלפפון</t>
  </si>
  <si>
    <t>עוגית חלבון</t>
  </si>
  <si>
    <t>ביצה</t>
  </si>
  <si>
    <t>שמן זית</t>
  </si>
  <si>
    <t>בצל</t>
  </si>
  <si>
    <t>תפוא</t>
  </si>
  <si>
    <t>חזה עוף</t>
  </si>
  <si>
    <t>תערובת ירוקים</t>
  </si>
  <si>
    <t>פסטה אוסם</t>
  </si>
  <si>
    <t>קוואקר</t>
  </si>
  <si>
    <t>דבש</t>
  </si>
  <si>
    <t>בננה</t>
  </si>
  <si>
    <t>יוגורט סויה</t>
  </si>
  <si>
    <t>גיינר</t>
  </si>
  <si>
    <t>אצבעות מוצרלה</t>
  </si>
  <si>
    <t>טופו קשה</t>
  </si>
  <si>
    <t>טבורוג שלוש אחוז</t>
  </si>
  <si>
    <t>קמח חיטה</t>
  </si>
  <si>
    <t>_</t>
  </si>
  <si>
    <t>אוכל</t>
  </si>
  <si>
    <t>יחידה</t>
  </si>
  <si>
    <t>וולידציה</t>
  </si>
  <si>
    <t>אבקה</t>
  </si>
  <si>
    <t>אולין בוטנים קרמל</t>
  </si>
  <si>
    <t>אורז</t>
  </si>
  <si>
    <t>אצבעות עמק</t>
  </si>
  <si>
    <t>בטטה</t>
  </si>
  <si>
    <t>גזר</t>
  </si>
  <si>
    <t>גמבה</t>
  </si>
  <si>
    <t>גרנולה לא מתוקה</t>
  </si>
  <si>
    <t xml:space="preserve">גרנולה שוקולד </t>
  </si>
  <si>
    <t>זית</t>
  </si>
  <si>
    <t>חטיף חלבון מקסברנר</t>
  </si>
  <si>
    <t>חטיף חלבון פיסטוק</t>
  </si>
  <si>
    <t>חטיף טודיי</t>
  </si>
  <si>
    <t>חטיף נטור ואלי</t>
  </si>
  <si>
    <t>חלבון ביצה</t>
  </si>
  <si>
    <t>טונה</t>
  </si>
  <si>
    <t>יוגור פרו אחוז וחצי</t>
  </si>
  <si>
    <t>יוגורט פרו מתוק</t>
  </si>
  <si>
    <t>כדור תמרים</t>
  </si>
  <si>
    <t>כוסמת</t>
  </si>
  <si>
    <t>לחם מלא</t>
  </si>
  <si>
    <t>לחם שחור משרד</t>
  </si>
  <si>
    <t>לחמנייה ברון</t>
  </si>
  <si>
    <t>מנה חמה בקר</t>
  </si>
  <si>
    <t>נודלס אורז</t>
  </si>
  <si>
    <t>נודלס חיטה</t>
  </si>
  <si>
    <t>סטייקט אנטריקוט</t>
  </si>
  <si>
    <t>סילאן</t>
  </si>
  <si>
    <t>פטריות</t>
  </si>
  <si>
    <t>פטריות פורטבלה</t>
  </si>
  <si>
    <t>פיתות כוסמין אנג'ל</t>
  </si>
  <si>
    <t>פיתות כוסמין לוי</t>
  </si>
  <si>
    <t>פיתות כוסמין מלא</t>
  </si>
  <si>
    <t>פסטרמה</t>
  </si>
  <si>
    <t>פרגית</t>
  </si>
  <si>
    <t>קוטג 5</t>
  </si>
  <si>
    <t>קטניות</t>
  </si>
  <si>
    <t>קישוא</t>
  </si>
  <si>
    <t>ריבר בוט בינוני</t>
  </si>
  <si>
    <t>מצת כוסמין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</si>
</sst>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&quot;$&quot;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88"/>
    <col customWidth="1" min="2" max="2" width="5.13"/>
    <col customWidth="1" min="3" max="3" width="10.13"/>
    <col customWidth="1" min="4" max="4" width="9.0"/>
    <col customWidth="1" min="5" max="5" width="6.38"/>
    <col customWidth="1" min="6" max="6" width="7.38"/>
    <col customWidth="1" min="7" max="7" width="9.63"/>
    <col customWidth="1" min="8" max="8" width="7.75"/>
    <col customWidth="1" min="9" max="9" width="7.25"/>
    <col customWidth="1" min="10" max="10" width="9.13"/>
    <col customWidth="1" min="11" max="11" width="8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5.75" customHeight="1">
      <c r="A2" s="2" t="s">
        <v>11</v>
      </c>
      <c r="B2" s="3">
        <v>1.0</v>
      </c>
      <c r="C2" s="4">
        <f>VLOOKUP($A2, dict!$A:$F, 3, false) * $B2 / VLOOKUP($A2, dict!$A:$F, 2, false)</f>
        <v>6.7</v>
      </c>
      <c r="D2" s="4">
        <f>VLOOKUP($A2, dict!$A:$F, 4, false) * $B2 / VLOOKUP($A2, dict!$A:$F, 2, false)</f>
        <v>21</v>
      </c>
      <c r="E2" s="4">
        <f>VLOOKUP($A2, dict!$A:$F, 5, false) * $B2 / VLOOKUP($A2, dict!$A:$F, 2, false)</f>
        <v>0</v>
      </c>
      <c r="F2" s="4">
        <f>VLOOKUP($A2, dict!$A:$F, 6, false) * $B2 / VLOOKUP($A2, dict!$A:$F, 2, false)</f>
        <v>116</v>
      </c>
      <c r="G2" s="4">
        <f t="shared" ref="G2:J2" si="1">SUM(C:C)</f>
        <v>491.48</v>
      </c>
      <c r="H2" s="4">
        <f t="shared" si="1"/>
        <v>228.18</v>
      </c>
      <c r="I2" s="4">
        <f t="shared" si="1"/>
        <v>65.34</v>
      </c>
      <c r="J2" s="4">
        <f t="shared" si="1"/>
        <v>3524.2</v>
      </c>
      <c r="K2" s="4">
        <f>G2*4 + H2*4 + I2*9</f>
        <v>3466.7</v>
      </c>
    </row>
    <row r="3" ht="15.75" customHeight="1">
      <c r="A3" s="2" t="s">
        <v>12</v>
      </c>
      <c r="B3" s="3">
        <v>150.0</v>
      </c>
      <c r="C3" s="4">
        <f>VLOOKUP($A3, dict!$A:$F, 3, false) * $B3 / VLOOKUP($A3, dict!$A:$F, 2, false)</f>
        <v>67.5</v>
      </c>
      <c r="D3" s="4">
        <f>VLOOKUP($A3, dict!$A:$F, 4, false) * $B3 / VLOOKUP($A3, dict!$A:$F, 2, false)</f>
        <v>13.95</v>
      </c>
      <c r="E3" s="4">
        <f>VLOOKUP($A3, dict!$A:$F, 5, false) * $B3 / VLOOKUP($A3, dict!$A:$F, 2, false)</f>
        <v>2.1</v>
      </c>
      <c r="F3" s="4">
        <f>VLOOKUP($A3, dict!$A:$F, 6, false) * $B3 / VLOOKUP($A3, dict!$A:$F, 2, false)</f>
        <v>354</v>
      </c>
    </row>
    <row r="4" ht="15.75" customHeight="1">
      <c r="A4" s="2" t="s">
        <v>13</v>
      </c>
      <c r="B4" s="3">
        <v>200.0</v>
      </c>
      <c r="C4" s="4">
        <f>VLOOKUP($A4, dict!$A:$F, 3, false) * $B4 / VLOOKUP($A4, dict!$A:$F, 2, false)</f>
        <v>7</v>
      </c>
      <c r="D4" s="4">
        <f>VLOOKUP($A4, dict!$A:$F, 4, false) * $B4 / VLOOKUP($A4, dict!$A:$F, 2, false)</f>
        <v>0</v>
      </c>
      <c r="E4" s="4">
        <f>VLOOKUP($A4, dict!$A:$F, 5, false) * $B4 / VLOOKUP($A4, dict!$A:$F, 2, false)</f>
        <v>0</v>
      </c>
      <c r="F4" s="4">
        <f>VLOOKUP($A4, dict!$A:$F, 6, false) * $B4 / VLOOKUP($A4, dict!$A:$F, 2, false)</f>
        <v>30</v>
      </c>
    </row>
    <row r="5" ht="15.75" customHeight="1">
      <c r="A5" s="2" t="s">
        <v>14</v>
      </c>
      <c r="B5" s="3">
        <v>0.0</v>
      </c>
      <c r="C5" s="4">
        <f>VLOOKUP($A5, dict!$A:$F, 3, false) * $B5 / VLOOKUP($A5, dict!$A:$F, 2, false)</f>
        <v>0</v>
      </c>
      <c r="D5" s="4">
        <f>VLOOKUP($A5, dict!$A:$F, 4, false) * $B5 / VLOOKUP($A5, dict!$A:$F, 2, false)</f>
        <v>0</v>
      </c>
      <c r="E5" s="4">
        <f>VLOOKUP($A5, dict!$A:$F, 5, false) * $B5 / VLOOKUP($A5, dict!$A:$F, 2, false)</f>
        <v>0</v>
      </c>
      <c r="F5" s="4">
        <f>VLOOKUP($A5, dict!$A:$F, 6, false) * $B5 / VLOOKUP($A5, dict!$A:$F, 2, false)</f>
        <v>0</v>
      </c>
    </row>
    <row r="6" ht="15.75" customHeight="1">
      <c r="A6" s="2" t="s">
        <v>15</v>
      </c>
      <c r="B6" s="3">
        <v>2.0</v>
      </c>
      <c r="C6" s="4">
        <f>VLOOKUP($A6, dict!$A:$F, 3, false) * $B6 / VLOOKUP($A6, dict!$A:$F, 2, false)</f>
        <v>1</v>
      </c>
      <c r="D6" s="4">
        <f>VLOOKUP($A6, dict!$A:$F, 4, false) * $B6 / VLOOKUP($A6, dict!$A:$F, 2, false)</f>
        <v>17</v>
      </c>
      <c r="E6" s="4">
        <f>VLOOKUP($A6, dict!$A:$F, 5, false) * $B6 / VLOOKUP($A6, dict!$A:$F, 2, false)</f>
        <v>13</v>
      </c>
      <c r="F6" s="4">
        <f>VLOOKUP($A6, dict!$A:$F, 6, false) * $B6 / VLOOKUP($A6, dict!$A:$F, 2, false)</f>
        <v>194</v>
      </c>
    </row>
    <row r="7" ht="15.75" customHeight="1">
      <c r="A7" s="2" t="s">
        <v>16</v>
      </c>
      <c r="B7" s="3">
        <v>5.0</v>
      </c>
      <c r="C7" s="4">
        <f>VLOOKUP($A7, dict!$A:$F, 3, false) * $B7 / VLOOKUP($A7, dict!$A:$F, 2, false)</f>
        <v>0</v>
      </c>
      <c r="D7" s="4">
        <f>VLOOKUP($A7, dict!$A:$F, 4, false) * $B7 / VLOOKUP($A7, dict!$A:$F, 2, false)</f>
        <v>0</v>
      </c>
      <c r="E7" s="4">
        <f>VLOOKUP($A7, dict!$A:$F, 5, false) * $B7 / VLOOKUP($A7, dict!$A:$F, 2, false)</f>
        <v>4.6</v>
      </c>
      <c r="F7" s="4">
        <f>VLOOKUP($A7, dict!$A:$F, 6, false) * $B7 / VLOOKUP($A7, dict!$A:$F, 2, false)</f>
        <v>41.5</v>
      </c>
    </row>
    <row r="8" ht="15.75" customHeight="1">
      <c r="A8" s="2" t="s">
        <v>16</v>
      </c>
      <c r="B8" s="3">
        <v>5.0</v>
      </c>
      <c r="C8" s="4">
        <f>VLOOKUP($A8, dict!$A:$F, 3, false) * $B8 / VLOOKUP($A8, dict!$A:$F, 2, false)</f>
        <v>0</v>
      </c>
      <c r="D8" s="4">
        <f>VLOOKUP($A8, dict!$A:$F, 4, false) * $B8 / VLOOKUP($A8, dict!$A:$F, 2, false)</f>
        <v>0</v>
      </c>
      <c r="E8" s="4">
        <f>VLOOKUP($A8, dict!$A:$F, 5, false) * $B8 / VLOOKUP($A8, dict!$A:$F, 2, false)</f>
        <v>4.6</v>
      </c>
      <c r="F8" s="4">
        <f>VLOOKUP($A8, dict!$A:$F, 6, false) * $B8 / VLOOKUP($A8, dict!$A:$F, 2, false)</f>
        <v>41.5</v>
      </c>
    </row>
    <row r="9" ht="15.75" customHeight="1">
      <c r="A9" s="2" t="s">
        <v>17</v>
      </c>
      <c r="B9" s="3">
        <v>200.0</v>
      </c>
      <c r="C9" s="4">
        <f>VLOOKUP($A9, dict!$A:$F, 3, false) * $B9 / VLOOKUP($A9, dict!$A:$F, 2, false)</f>
        <v>18.68</v>
      </c>
      <c r="D9" s="4">
        <f>VLOOKUP($A9, dict!$A:$F, 4, false) * $B9 / VLOOKUP($A9, dict!$A:$F, 2, false)</f>
        <v>2.2</v>
      </c>
      <c r="E9" s="4">
        <f>VLOOKUP($A9, dict!$A:$F, 5, false) * $B9 / VLOOKUP($A9, dict!$A:$F, 2, false)</f>
        <v>0.2</v>
      </c>
      <c r="F9" s="4">
        <f>VLOOKUP($A9, dict!$A:$F, 6, false) * $B9 / VLOOKUP($A9, dict!$A:$F, 2, false)</f>
        <v>80</v>
      </c>
    </row>
    <row r="10" ht="15.75" customHeight="1">
      <c r="A10" s="2" t="s">
        <v>18</v>
      </c>
      <c r="B10" s="5">
        <v>0.0</v>
      </c>
      <c r="C10" s="6">
        <f>VLOOKUP($A10, dict!$A:$F, 3, false) * $B10 / VLOOKUP($A10, dict!$A:$F, 2, false)</f>
        <v>0</v>
      </c>
      <c r="D10" s="6">
        <f>VLOOKUP($A10, dict!$A:$F, 4, false) * $B10 / VLOOKUP($A10, dict!$A:$F, 2, false)</f>
        <v>0</v>
      </c>
      <c r="E10" s="6">
        <f>VLOOKUP($A10, dict!$A:$F, 5, false) * $B10 / VLOOKUP($A10, dict!$A:$F, 2, false)</f>
        <v>0</v>
      </c>
      <c r="F10" s="6">
        <f>VLOOKUP($A10, dict!$A:$F, 6, false) * $B10 / VLOOKUP($A10, dict!$A:$F, 2, false)</f>
        <v>0</v>
      </c>
    </row>
    <row r="11" ht="15.75" customHeight="1">
      <c r="A11" s="2" t="s">
        <v>19</v>
      </c>
      <c r="B11" s="3">
        <v>230.0</v>
      </c>
      <c r="C11" s="4">
        <f>VLOOKUP($A11, dict!$A:$F, 3, false) * $B11 / VLOOKUP($A11, dict!$A:$F, 2, false)</f>
        <v>0</v>
      </c>
      <c r="D11" s="4">
        <f>VLOOKUP($A11, dict!$A:$F, 4, false) * $B11 / VLOOKUP($A11, dict!$A:$F, 2, false)</f>
        <v>57.5</v>
      </c>
      <c r="E11" s="4">
        <f>VLOOKUP($A11, dict!$A:$F, 5, false) * $B11 / VLOOKUP($A11, dict!$A:$F, 2, false)</f>
        <v>5.75</v>
      </c>
      <c r="F11" s="4">
        <f>VLOOKUP($A11, dict!$A:$F, 6, false) * $B11 / VLOOKUP($A11, dict!$A:$F, 2, false)</f>
        <v>276</v>
      </c>
    </row>
    <row r="12" ht="15.75" customHeight="1">
      <c r="A12" s="2" t="s">
        <v>20</v>
      </c>
      <c r="B12" s="3">
        <v>0.0</v>
      </c>
      <c r="C12" s="4">
        <f>VLOOKUP($A12, dict!$A:$F, 3, false) * $B12 / VLOOKUP($A12, dict!$A:$F, 2, false)</f>
        <v>0</v>
      </c>
      <c r="D12" s="4">
        <f>VLOOKUP($A12, dict!$A:$F, 4, false) * $B12 / VLOOKUP($A12, dict!$A:$F, 2, false)</f>
        <v>0</v>
      </c>
      <c r="E12" s="4">
        <f>VLOOKUP($A12, dict!$A:$F, 5, false) * $B12 / VLOOKUP($A12, dict!$A:$F, 2, false)</f>
        <v>0</v>
      </c>
      <c r="F12" s="4">
        <f>VLOOKUP($A12, dict!$A:$F, 6, false) * $B12 / VLOOKUP($A12, dict!$A:$F, 2, false)</f>
        <v>0</v>
      </c>
    </row>
    <row r="13" ht="15.75" customHeight="1">
      <c r="A13" s="2" t="s">
        <v>21</v>
      </c>
      <c r="B13" s="3">
        <v>150.0</v>
      </c>
      <c r="C13" s="4">
        <f>VLOOKUP($A13, dict!$A:$F, 3, false) * $B13 / VLOOKUP($A13, dict!$A:$F, 2, false)</f>
        <v>106.5</v>
      </c>
      <c r="D13" s="4">
        <f>VLOOKUP($A13, dict!$A:$F, 4, false) * $B13 / VLOOKUP($A13, dict!$A:$F, 2, false)</f>
        <v>16.5</v>
      </c>
      <c r="E13" s="4">
        <f>VLOOKUP($A13, dict!$A:$F, 5, false) * $B13 / VLOOKUP($A13, dict!$A:$F, 2, false)</f>
        <v>2.25</v>
      </c>
      <c r="F13" s="4">
        <f>VLOOKUP($A13, dict!$A:$F, 6, false) * $B13 / VLOOKUP($A13, dict!$A:$F, 2, false)</f>
        <v>523.5</v>
      </c>
    </row>
    <row r="14" ht="15.75" customHeight="1">
      <c r="A14" s="2" t="s">
        <v>22</v>
      </c>
      <c r="B14" s="3">
        <v>40.0</v>
      </c>
      <c r="C14" s="4">
        <f>VLOOKUP($A14, dict!$A:$F, 3, false) * $B14 / VLOOKUP($A14, dict!$A:$F, 2, false)</f>
        <v>27.6</v>
      </c>
      <c r="D14" s="4">
        <f>VLOOKUP($A14, dict!$A:$F, 4, false) * $B14 / VLOOKUP($A14, dict!$A:$F, 2, false)</f>
        <v>4.4</v>
      </c>
      <c r="E14" s="4">
        <f>VLOOKUP($A14, dict!$A:$F, 5, false) * $B14 / VLOOKUP($A14, dict!$A:$F, 2, false)</f>
        <v>3.2</v>
      </c>
      <c r="F14" s="4">
        <f>VLOOKUP($A14, dict!$A:$F, 6, false) * $B14 / VLOOKUP($A14, dict!$A:$F, 2, false)</f>
        <v>149.6</v>
      </c>
      <c r="G14" s="4"/>
    </row>
    <row r="15" ht="15.75" customHeight="1">
      <c r="A15" s="2" t="s">
        <v>23</v>
      </c>
      <c r="B15" s="3">
        <v>5.0</v>
      </c>
      <c r="C15" s="4">
        <f>VLOOKUP($A15, dict!$A:$F, 3, false) * $B15 / VLOOKUP($A15, dict!$A:$F, 2, false)</f>
        <v>4</v>
      </c>
      <c r="D15" s="4">
        <f>VLOOKUP($A15, dict!$A:$F, 4, false) * $B15 / VLOOKUP($A15, dict!$A:$F, 2, false)</f>
        <v>0</v>
      </c>
      <c r="E15" s="4">
        <f>VLOOKUP($A15, dict!$A:$F, 5, false) * $B15 / VLOOKUP($A15, dict!$A:$F, 2, false)</f>
        <v>0</v>
      </c>
      <c r="F15" s="4">
        <f>VLOOKUP($A15, dict!$A:$F, 6, false) * $B15 / VLOOKUP($A15, dict!$A:$F, 2, false)</f>
        <v>16</v>
      </c>
      <c r="G15" s="4"/>
    </row>
    <row r="16" ht="15.75" customHeight="1">
      <c r="A16" s="2" t="s">
        <v>23</v>
      </c>
      <c r="B16" s="3">
        <v>0.0</v>
      </c>
      <c r="C16" s="4">
        <f>VLOOKUP($A16, dict!$A:$F, 3, false) * $B16 / VLOOKUP($A16, dict!$A:$F, 2, false)</f>
        <v>0</v>
      </c>
      <c r="D16" s="4">
        <f>VLOOKUP($A16, dict!$A:$F, 4, false) * $B16 / VLOOKUP($A16, dict!$A:$F, 2, false)</f>
        <v>0</v>
      </c>
      <c r="E16" s="4">
        <f>VLOOKUP($A16, dict!$A:$F, 5, false) * $B16 / VLOOKUP($A16, dict!$A:$F, 2, false)</f>
        <v>0</v>
      </c>
      <c r="F16" s="4">
        <f>VLOOKUP($A16, dict!$A:$F, 6, false) * $B16 / VLOOKUP($A16, dict!$A:$F, 2, false)</f>
        <v>0</v>
      </c>
      <c r="G16" s="4"/>
    </row>
    <row r="17" ht="15.75" customHeight="1">
      <c r="A17" s="2" t="s">
        <v>24</v>
      </c>
      <c r="B17" s="3">
        <v>0.0</v>
      </c>
      <c r="C17" s="4">
        <f>VLOOKUP($A17, dict!$A:$F, 3, false) * $B17 / VLOOKUP($A17, dict!$A:$F, 2, false)</f>
        <v>0</v>
      </c>
      <c r="D17" s="4">
        <f>VLOOKUP($A17, dict!$A:$F, 4, false) * $B17 / VLOOKUP($A17, dict!$A:$F, 2, false)</f>
        <v>0</v>
      </c>
      <c r="E17" s="4">
        <f>VLOOKUP($A17, dict!$A:$F, 5, false) * $B17 / VLOOKUP($A17, dict!$A:$F, 2, false)</f>
        <v>0</v>
      </c>
      <c r="F17" s="4">
        <f>VLOOKUP($A17, dict!$A:$F, 6, false) * $B17 / VLOOKUP($A17, dict!$A:$F, 2, false)</f>
        <v>0</v>
      </c>
      <c r="G17" s="4"/>
    </row>
    <row r="18" ht="15.75" customHeight="1">
      <c r="A18" s="2" t="s">
        <v>25</v>
      </c>
      <c r="B18" s="3">
        <v>1.0</v>
      </c>
      <c r="C18" s="4">
        <f>VLOOKUP($A18, dict!$A:$F, 3, false) * $B18 / VLOOKUP($A18, dict!$A:$F, 2, false)</f>
        <v>12</v>
      </c>
      <c r="D18" s="4">
        <f>VLOOKUP($A18, dict!$A:$F, 4, false) * $B18 / VLOOKUP($A18, dict!$A:$F, 2, false)</f>
        <v>20</v>
      </c>
      <c r="E18" s="4">
        <f>VLOOKUP($A18, dict!$A:$F, 5, false) * $B18 / VLOOKUP($A18, dict!$A:$F, 2, false)</f>
        <v>6</v>
      </c>
      <c r="F18" s="4">
        <f>VLOOKUP($A18, dict!$A:$F, 6, false) * $B18 / VLOOKUP($A18, dict!$A:$F, 2, false)</f>
        <v>190</v>
      </c>
    </row>
    <row r="19" ht="15.75" customHeight="1">
      <c r="A19" s="2" t="s">
        <v>23</v>
      </c>
      <c r="B19" s="3">
        <v>0.0</v>
      </c>
      <c r="C19" s="4">
        <f>VLOOKUP($A19, dict!$A:$F, 3, false) * $B19 / VLOOKUP($A19, dict!$A:$F, 2, false)</f>
        <v>0</v>
      </c>
      <c r="D19" s="4">
        <f>VLOOKUP($A19, dict!$A:$F, 4, false) * $B19 / VLOOKUP($A19, dict!$A:$F, 2, false)</f>
        <v>0</v>
      </c>
      <c r="E19" s="4">
        <f>VLOOKUP($A19, dict!$A:$F, 5, false) * $B19 / VLOOKUP($A19, dict!$A:$F, 2, false)</f>
        <v>0</v>
      </c>
      <c r="F19" s="4">
        <f>VLOOKUP($A19, dict!$A:$F, 6, false) * $B19 / VLOOKUP($A19, dict!$A:$F, 2, false)</f>
        <v>0</v>
      </c>
    </row>
    <row r="20" ht="15.75" customHeight="1">
      <c r="A20" s="2" t="s">
        <v>13</v>
      </c>
      <c r="B20" s="7">
        <v>0.0</v>
      </c>
      <c r="C20" s="4">
        <f>VLOOKUP($A20, dict!$A:$F, 3, false) * $B20 / VLOOKUP($A20, dict!$A:$F, 2, false)</f>
        <v>0</v>
      </c>
      <c r="D20" s="4">
        <f>VLOOKUP($A20, dict!$A:$F, 4, false) * $B20 / VLOOKUP($A20, dict!$A:$F, 2, false)</f>
        <v>0</v>
      </c>
      <c r="E20" s="4">
        <f>VLOOKUP($A20, dict!$A:$F, 5, false) * $B20 / VLOOKUP($A20, dict!$A:$F, 2, false)</f>
        <v>0</v>
      </c>
      <c r="F20" s="4">
        <f>VLOOKUP($A20, dict!$A:$F, 6, false) * $B20 / VLOOKUP($A20, dict!$A:$F, 2, false)</f>
        <v>0</v>
      </c>
    </row>
    <row r="21" ht="15.75" customHeight="1">
      <c r="A21" s="2" t="s">
        <v>25</v>
      </c>
      <c r="B21" s="7">
        <v>1.0</v>
      </c>
      <c r="C21" s="4">
        <f>VLOOKUP($A21, dict!$A:$F, 3, false) * $B21 / VLOOKUP($A21, dict!$A:$F, 2, false)</f>
        <v>12</v>
      </c>
      <c r="D21" s="4">
        <f>VLOOKUP($A21, dict!$A:$F, 4, false) * $B21 / VLOOKUP($A21, dict!$A:$F, 2, false)</f>
        <v>20</v>
      </c>
      <c r="E21" s="4">
        <f>VLOOKUP($A21, dict!$A:$F, 5, false) * $B21 / VLOOKUP($A21, dict!$A:$F, 2, false)</f>
        <v>6</v>
      </c>
      <c r="F21" s="4">
        <f>VLOOKUP($A21, dict!$A:$F, 6, false) * $B21 / VLOOKUP($A21, dict!$A:$F, 2, false)</f>
        <v>190</v>
      </c>
    </row>
    <row r="22" ht="15.75" customHeight="1">
      <c r="A22" s="2" t="s">
        <v>26</v>
      </c>
      <c r="B22" s="7">
        <v>150.0</v>
      </c>
      <c r="C22" s="4">
        <f>VLOOKUP($A22, dict!$A:$F, 3, false) * $B22 / VLOOKUP($A22, dict!$A:$F, 2, false)</f>
        <v>108</v>
      </c>
      <c r="D22" s="4">
        <f>VLOOKUP($A22, dict!$A:$F, 4, false) * $B22 / VLOOKUP($A22, dict!$A:$F, 2, false)</f>
        <v>24</v>
      </c>
      <c r="E22" s="4">
        <f>VLOOKUP($A22, dict!$A:$F, 5, false) * $B22 / VLOOKUP($A22, dict!$A:$F, 2, false)</f>
        <v>6</v>
      </c>
      <c r="F22" s="4">
        <f>VLOOKUP($A22, dict!$A:$F, 6, false) * $B22 / VLOOKUP($A22, dict!$A:$F, 2, false)</f>
        <v>595.5</v>
      </c>
    </row>
    <row r="23" ht="15.75" customHeight="1">
      <c r="A23" s="2" t="s">
        <v>27</v>
      </c>
      <c r="B23" s="7">
        <v>2.0</v>
      </c>
      <c r="C23" s="4">
        <f>VLOOKUP($A23, dict!$A:$F, 3, false) * $B23 / VLOOKUP($A23, dict!$A:$F, 2, false)</f>
        <v>0</v>
      </c>
      <c r="D23" s="4">
        <f>VLOOKUP($A23, dict!$A:$F, 4, false) * $B23 / VLOOKUP($A23, dict!$A:$F, 2, false)</f>
        <v>10.4</v>
      </c>
      <c r="E23" s="4">
        <f>VLOOKUP($A23, dict!$A:$F, 5, false) * $B23 / VLOOKUP($A23, dict!$A:$F, 2, false)</f>
        <v>8.6</v>
      </c>
      <c r="F23" s="4">
        <f>VLOOKUP($A23, dict!$A:$F, 6, false) * $B23 / VLOOKUP($A23, dict!$A:$F, 2, false)</f>
        <v>118</v>
      </c>
    </row>
    <row r="24" ht="15.75" customHeight="1">
      <c r="A24" s="2" t="s">
        <v>12</v>
      </c>
      <c r="B24" s="7">
        <v>110.0</v>
      </c>
      <c r="C24" s="4">
        <f>VLOOKUP($A24, dict!$A:$F, 3, false) * $B24 / VLOOKUP($A24, dict!$A:$F, 2, false)</f>
        <v>49.5</v>
      </c>
      <c r="D24" s="4">
        <f>VLOOKUP($A24, dict!$A:$F, 4, false) * $B24 / VLOOKUP($A24, dict!$A:$F, 2, false)</f>
        <v>10.23</v>
      </c>
      <c r="E24" s="4">
        <f>VLOOKUP($A24, dict!$A:$F, 5, false) * $B24 / VLOOKUP($A24, dict!$A:$F, 2, false)</f>
        <v>1.54</v>
      </c>
      <c r="F24" s="4">
        <f>VLOOKUP($A24, dict!$A:$F, 6, false) * $B24 / VLOOKUP($A24, dict!$A:$F, 2, false)</f>
        <v>259.6</v>
      </c>
    </row>
    <row r="25" ht="15.75" customHeight="1">
      <c r="A25" s="2" t="s">
        <v>21</v>
      </c>
      <c r="B25" s="7">
        <v>100.0</v>
      </c>
      <c r="C25" s="4">
        <f>VLOOKUP($A25, dict!$A:$F, 3, false) * $B25 / VLOOKUP($A25, dict!$A:$F, 2, false)</f>
        <v>71</v>
      </c>
      <c r="D25" s="4">
        <f>VLOOKUP($A25, dict!$A:$F, 4, false) * $B25 / VLOOKUP($A25, dict!$A:$F, 2, false)</f>
        <v>11</v>
      </c>
      <c r="E25" s="4">
        <f>VLOOKUP($A25, dict!$A:$F, 5, false) * $B25 / VLOOKUP($A25, dict!$A:$F, 2, false)</f>
        <v>1.5</v>
      </c>
      <c r="F25" s="4">
        <f>VLOOKUP($A25, dict!$A:$F, 6, false) * $B25 / VLOOKUP($A25, dict!$A:$F, 2, false)</f>
        <v>349</v>
      </c>
    </row>
    <row r="26" ht="15.75" customHeight="1">
      <c r="A26" s="2" t="s">
        <v>15</v>
      </c>
      <c r="B26" s="7">
        <v>0.0</v>
      </c>
      <c r="C26" s="4">
        <f>VLOOKUP($A26, dict!$A:$F, 3, false) * $B26 / VLOOKUP($A26, dict!$A:$F, 2, false)</f>
        <v>0</v>
      </c>
      <c r="D26" s="4">
        <f>VLOOKUP($A26, dict!$A:$F, 4, false) * $B26 / VLOOKUP($A26, dict!$A:$F, 2, false)</f>
        <v>0</v>
      </c>
      <c r="E26" s="4">
        <f>VLOOKUP($A26, dict!$A:$F, 5, false) * $B26 / VLOOKUP($A26, dict!$A:$F, 2, false)</f>
        <v>0</v>
      </c>
      <c r="F26" s="4">
        <f>VLOOKUP($A26, dict!$A:$F, 6, false) * $B26 / VLOOKUP($A26, dict!$A:$F, 2, false)</f>
        <v>0</v>
      </c>
    </row>
    <row r="27" ht="15.75" customHeight="1">
      <c r="A27" s="2" t="s">
        <v>28</v>
      </c>
      <c r="B27" s="7">
        <v>0.0</v>
      </c>
      <c r="C27" s="4">
        <f>VLOOKUP($A27, dict!$A:$F, 3, false) * $B27 / VLOOKUP($A27, dict!$A:$F, 2, false)</f>
        <v>0</v>
      </c>
      <c r="D27" s="4">
        <f>VLOOKUP($A27, dict!$A:$F, 4, false) * $B27 / VLOOKUP($A27, dict!$A:$F, 2, false)</f>
        <v>0</v>
      </c>
      <c r="E27" s="4">
        <f>VLOOKUP($A27, dict!$A:$F, 5, false) * $B27 / VLOOKUP($A27, dict!$A:$F, 2, false)</f>
        <v>0</v>
      </c>
      <c r="F27" s="4">
        <f>VLOOKUP($A27, dict!$A:$F, 6, false) * $B27 / VLOOKUP($A27, dict!$A:$F, 2, false)</f>
        <v>0</v>
      </c>
    </row>
    <row r="28" ht="15.75" customHeight="1">
      <c r="A28" s="4"/>
    </row>
    <row r="29" ht="15.75" customHeight="1">
      <c r="A29" s="4"/>
    </row>
    <row r="30" ht="15.75" customHeight="1">
      <c r="A30" s="4"/>
    </row>
    <row r="31" ht="15.75" customHeight="1">
      <c r="A31" s="4"/>
    </row>
    <row r="32" ht="15.75" customHeight="1">
      <c r="A32" s="4"/>
    </row>
    <row r="33" ht="15.75" customHeight="1">
      <c r="A33" s="4"/>
    </row>
    <row r="34" ht="15.75" customHeight="1">
      <c r="A34" s="4"/>
    </row>
    <row r="35" ht="15.75" customHeight="1">
      <c r="A35" s="4"/>
    </row>
    <row r="36" ht="15.75" customHeight="1">
      <c r="A36" s="4"/>
    </row>
    <row r="37" ht="15.75" customHeight="1">
      <c r="A37" s="4"/>
    </row>
    <row r="38" ht="15.75" customHeight="1">
      <c r="A38" s="4"/>
    </row>
    <row r="39" ht="15.75" customHeight="1">
      <c r="A39" s="4"/>
    </row>
    <row r="40" ht="15.75" customHeight="1">
      <c r="A40" s="4"/>
    </row>
    <row r="41" ht="15.75" customHeight="1">
      <c r="A41" s="4"/>
    </row>
    <row r="42" ht="15.75" customHeight="1">
      <c r="A42" s="4"/>
    </row>
    <row r="43" ht="15.75" customHeight="1">
      <c r="A43" s="4"/>
    </row>
    <row r="44" ht="15.75" customHeight="1">
      <c r="A44" s="4"/>
    </row>
    <row r="45" ht="15.75" customHeight="1">
      <c r="A45" s="4"/>
    </row>
    <row r="46" ht="15.75" customHeight="1">
      <c r="A46" s="4"/>
    </row>
    <row r="47" ht="15.75" customHeight="1">
      <c r="A47" s="4"/>
    </row>
    <row r="48" ht="15.75" customHeight="1">
      <c r="A48" s="4"/>
    </row>
    <row r="49" ht="15.75" customHeight="1">
      <c r="A49" s="4"/>
    </row>
    <row r="50" ht="15.75" customHeight="1">
      <c r="A50" s="4"/>
    </row>
    <row r="51" ht="15.75" customHeight="1">
      <c r="A51" s="4"/>
    </row>
    <row r="52" ht="15.75" customHeight="1">
      <c r="A52" s="4"/>
    </row>
    <row r="53" ht="15.75" customHeight="1">
      <c r="A53" s="4"/>
    </row>
    <row r="54" ht="15.75" customHeight="1">
      <c r="A54" s="4"/>
    </row>
    <row r="55" ht="15.75" customHeight="1">
      <c r="A55" s="4"/>
    </row>
    <row r="56" ht="15.75" customHeight="1">
      <c r="A56" s="4"/>
    </row>
    <row r="57" ht="15.75" customHeight="1">
      <c r="A57" s="4"/>
    </row>
    <row r="58" ht="15.75" customHeight="1">
      <c r="A58" s="4"/>
    </row>
    <row r="59" ht="15.75" customHeight="1">
      <c r="A59" s="4"/>
    </row>
    <row r="60" ht="15.75" customHeight="1">
      <c r="A60" s="4"/>
    </row>
    <row r="61" ht="15.75" customHeight="1">
      <c r="A61" s="4"/>
    </row>
    <row r="62" ht="15.75" customHeight="1">
      <c r="A62" s="4"/>
    </row>
    <row r="63" ht="15.75" customHeight="1">
      <c r="A63" s="4"/>
    </row>
    <row r="64" ht="15.75" customHeight="1">
      <c r="A64" s="4"/>
    </row>
    <row r="65" ht="15.75" customHeight="1">
      <c r="A65" s="4"/>
    </row>
    <row r="66" ht="15.75" customHeight="1">
      <c r="A66" s="4"/>
    </row>
    <row r="67" ht="15.75" customHeight="1">
      <c r="A67" s="4"/>
    </row>
    <row r="68" ht="15.75" customHeight="1">
      <c r="A68" s="4"/>
    </row>
    <row r="69" ht="15.75" customHeight="1">
      <c r="A69" s="4"/>
    </row>
    <row r="70" ht="15.75" customHeight="1">
      <c r="A70" s="4"/>
    </row>
    <row r="71" ht="15.75" customHeight="1">
      <c r="A71" s="4"/>
    </row>
    <row r="72" ht="15.75" customHeight="1">
      <c r="A72" s="4"/>
    </row>
    <row r="73" ht="15.75" customHeight="1">
      <c r="A73" s="4"/>
    </row>
    <row r="74" ht="15.75" customHeight="1">
      <c r="A74" s="4"/>
    </row>
    <row r="75" ht="15.75" customHeight="1">
      <c r="A75" s="4"/>
    </row>
    <row r="76" ht="15.75" customHeight="1">
      <c r="A76" s="4"/>
    </row>
    <row r="77" ht="15.75" customHeight="1">
      <c r="A77" s="4"/>
    </row>
    <row r="78" ht="15.75" customHeight="1">
      <c r="A78" s="4"/>
    </row>
    <row r="79" ht="15.75" customHeight="1">
      <c r="A79" s="4"/>
    </row>
    <row r="80" ht="15.75" customHeight="1">
      <c r="A80" s="4"/>
    </row>
    <row r="81" ht="15.75" customHeight="1">
      <c r="A81" s="4"/>
    </row>
    <row r="82" ht="15.75" customHeight="1">
      <c r="A82" s="4"/>
    </row>
    <row r="83" ht="15.75" customHeight="1">
      <c r="A83" s="4"/>
    </row>
    <row r="84" ht="15.75" customHeight="1">
      <c r="A84" s="4"/>
    </row>
    <row r="85" ht="15.75" customHeight="1">
      <c r="A85" s="4"/>
    </row>
    <row r="86" ht="15.75" customHeight="1">
      <c r="A86" s="4"/>
    </row>
    <row r="87" ht="15.75" customHeight="1">
      <c r="A87" s="4"/>
    </row>
    <row r="88" ht="15.75" customHeight="1">
      <c r="A88" s="4"/>
    </row>
    <row r="89" ht="15.75" customHeight="1">
      <c r="A89" s="4"/>
    </row>
    <row r="90" ht="15.75" customHeight="1">
      <c r="A90" s="4"/>
    </row>
    <row r="91" ht="15.75" customHeight="1">
      <c r="A91" s="4"/>
    </row>
    <row r="92" ht="15.75" customHeight="1">
      <c r="A92" s="4"/>
    </row>
    <row r="93" ht="15.75" customHeight="1">
      <c r="A93" s="4"/>
    </row>
    <row r="94" ht="15.75" customHeight="1">
      <c r="A94" s="4"/>
    </row>
    <row r="95" ht="15.75" customHeight="1">
      <c r="A95" s="4"/>
    </row>
    <row r="96" ht="15.75" customHeight="1">
      <c r="A96" s="4"/>
    </row>
    <row r="97" ht="15.75" customHeight="1">
      <c r="A97" s="4"/>
    </row>
    <row r="98" ht="15.75" customHeight="1">
      <c r="A98" s="4"/>
    </row>
    <row r="99" ht="15.75" customHeight="1">
      <c r="A99" s="4"/>
    </row>
    <row r="100" ht="15.75" customHeight="1">
      <c r="A100" s="4"/>
    </row>
    <row r="101" ht="15.75" customHeight="1">
      <c r="A101" s="4"/>
    </row>
    <row r="102" ht="15.75" customHeight="1">
      <c r="A102" s="4"/>
    </row>
    <row r="103" ht="15.75" customHeight="1">
      <c r="A103" s="4"/>
    </row>
    <row r="104" ht="15.75" customHeight="1">
      <c r="A104" s="4"/>
    </row>
    <row r="105" ht="15.75" customHeight="1">
      <c r="A105" s="4"/>
    </row>
    <row r="106" ht="15.75" customHeight="1">
      <c r="A106" s="4"/>
    </row>
    <row r="107" ht="15.75" customHeight="1">
      <c r="A107" s="4"/>
    </row>
    <row r="108" ht="15.75" customHeight="1">
      <c r="A108" s="4"/>
    </row>
    <row r="109" ht="15.75" customHeight="1">
      <c r="A109" s="4"/>
    </row>
    <row r="110" ht="15.75" customHeight="1">
      <c r="A110" s="4"/>
    </row>
    <row r="111" ht="15.75" customHeight="1">
      <c r="A111" s="4"/>
    </row>
    <row r="112" ht="15.75" customHeight="1">
      <c r="A112" s="4"/>
    </row>
    <row r="113" ht="15.75" customHeight="1">
      <c r="A113" s="4"/>
    </row>
    <row r="114" ht="15.75" customHeight="1">
      <c r="A114" s="4"/>
    </row>
    <row r="115" ht="15.75" customHeight="1">
      <c r="A115" s="4"/>
    </row>
    <row r="116" ht="15.75" customHeight="1">
      <c r="A116" s="4"/>
    </row>
    <row r="117" ht="15.75" customHeight="1">
      <c r="A117" s="4"/>
    </row>
    <row r="118" ht="15.75" customHeight="1">
      <c r="A118" s="4"/>
    </row>
    <row r="119" ht="15.75" customHeight="1">
      <c r="A119" s="4"/>
    </row>
    <row r="120" ht="15.75" customHeight="1">
      <c r="A120" s="4"/>
    </row>
    <row r="121" ht="15.75" customHeight="1">
      <c r="A121" s="4"/>
    </row>
    <row r="122" ht="15.75" customHeight="1">
      <c r="A122" s="4"/>
    </row>
    <row r="123" ht="15.75" customHeight="1">
      <c r="A123" s="4"/>
    </row>
    <row r="124" ht="15.75" customHeight="1">
      <c r="A124" s="4"/>
    </row>
    <row r="125" ht="15.75" customHeight="1">
      <c r="A125" s="4"/>
    </row>
    <row r="126" ht="15.75" customHeight="1">
      <c r="A126" s="4"/>
    </row>
    <row r="127" ht="15.75" customHeight="1">
      <c r="A127" s="4"/>
    </row>
    <row r="128" ht="15.75" customHeight="1">
      <c r="A128" s="4"/>
    </row>
    <row r="129" ht="15.75" customHeight="1">
      <c r="A129" s="4"/>
    </row>
    <row r="130" ht="15.75" customHeight="1">
      <c r="A130" s="4"/>
    </row>
    <row r="131" ht="15.75" customHeight="1">
      <c r="A131" s="4"/>
    </row>
    <row r="132" ht="15.75" customHeight="1">
      <c r="A132" s="4"/>
    </row>
    <row r="133" ht="15.75" customHeight="1">
      <c r="A133" s="4"/>
    </row>
    <row r="134" ht="15.75" customHeight="1">
      <c r="A134" s="4"/>
    </row>
    <row r="135" ht="15.75" customHeight="1">
      <c r="A135" s="4"/>
    </row>
    <row r="136" ht="15.75" customHeight="1">
      <c r="A136" s="4"/>
    </row>
    <row r="137" ht="15.75" customHeight="1">
      <c r="A137" s="4"/>
    </row>
    <row r="138" ht="15.75" customHeight="1">
      <c r="A138" s="4"/>
    </row>
    <row r="139" ht="15.75" customHeight="1">
      <c r="A139" s="4"/>
    </row>
    <row r="140" ht="15.75" customHeight="1">
      <c r="A140" s="4"/>
    </row>
    <row r="141" ht="15.75" customHeight="1">
      <c r="A141" s="4"/>
    </row>
    <row r="142" ht="15.75" customHeight="1">
      <c r="A142" s="4"/>
    </row>
    <row r="143" ht="15.75" customHeight="1">
      <c r="A143" s="4"/>
    </row>
    <row r="144" ht="15.75" customHeight="1">
      <c r="A144" s="4"/>
    </row>
    <row r="145" ht="15.75" customHeight="1">
      <c r="A145" s="4"/>
    </row>
    <row r="146" ht="15.75" customHeight="1">
      <c r="A146" s="4"/>
    </row>
    <row r="147" ht="15.75" customHeight="1">
      <c r="A147" s="4"/>
    </row>
    <row r="148" ht="15.75" customHeight="1">
      <c r="A148" s="4"/>
    </row>
    <row r="149" ht="15.75" customHeight="1">
      <c r="A149" s="4"/>
    </row>
    <row r="150" ht="15.75" customHeight="1">
      <c r="A150" s="4"/>
    </row>
    <row r="151" ht="15.75" customHeight="1">
      <c r="A151" s="4"/>
    </row>
    <row r="152" ht="15.75" customHeight="1">
      <c r="A152" s="4"/>
    </row>
    <row r="153" ht="15.75" customHeight="1">
      <c r="A153" s="4"/>
    </row>
    <row r="154" ht="15.75" customHeight="1">
      <c r="A154" s="4"/>
    </row>
    <row r="155" ht="15.75" customHeight="1">
      <c r="A155" s="4"/>
    </row>
    <row r="156" ht="15.75" customHeight="1">
      <c r="A156" s="4"/>
    </row>
    <row r="157" ht="15.75" customHeight="1">
      <c r="A157" s="4"/>
    </row>
    <row r="158" ht="15.75" customHeight="1">
      <c r="A158" s="4"/>
    </row>
    <row r="159" ht="15.75" customHeight="1">
      <c r="A159" s="4"/>
    </row>
    <row r="160" ht="15.75" customHeight="1">
      <c r="A160" s="4"/>
    </row>
    <row r="161" ht="15.75" customHeight="1">
      <c r="A161" s="4"/>
    </row>
    <row r="162" ht="15.75" customHeight="1">
      <c r="A162" s="4"/>
    </row>
    <row r="163" ht="15.75" customHeight="1">
      <c r="A163" s="4"/>
    </row>
    <row r="164" ht="15.75" customHeight="1">
      <c r="A164" s="4"/>
    </row>
    <row r="165" ht="15.75" customHeight="1">
      <c r="A165" s="4"/>
    </row>
    <row r="166" ht="15.75" customHeight="1">
      <c r="A166" s="4"/>
    </row>
    <row r="167" ht="15.75" customHeight="1">
      <c r="A167" s="4"/>
    </row>
    <row r="168" ht="15.75" customHeight="1">
      <c r="A168" s="4"/>
    </row>
    <row r="169" ht="15.75" customHeight="1">
      <c r="A169" s="4"/>
    </row>
    <row r="170" ht="15.75" customHeight="1">
      <c r="A170" s="4"/>
    </row>
    <row r="171" ht="15.75" customHeight="1">
      <c r="A171" s="4"/>
    </row>
    <row r="172" ht="15.75" customHeight="1">
      <c r="A172" s="4"/>
    </row>
    <row r="173" ht="15.75" customHeight="1">
      <c r="A173" s="4"/>
    </row>
    <row r="174" ht="15.75" customHeight="1">
      <c r="A174" s="4"/>
    </row>
    <row r="175" ht="15.75" customHeight="1">
      <c r="A175" s="4"/>
    </row>
    <row r="176" ht="15.75" customHeight="1">
      <c r="A176" s="4"/>
    </row>
    <row r="177" ht="15.75" customHeight="1">
      <c r="A177" s="4"/>
    </row>
    <row r="178" ht="15.75" customHeight="1">
      <c r="A178" s="4"/>
    </row>
    <row r="179" ht="15.75" customHeight="1">
      <c r="A179" s="4"/>
    </row>
    <row r="180" ht="15.75" customHeight="1">
      <c r="A180" s="4"/>
    </row>
    <row r="181" ht="15.75" customHeight="1">
      <c r="A181" s="4"/>
    </row>
    <row r="182" ht="15.75" customHeight="1">
      <c r="A182" s="4"/>
    </row>
    <row r="183" ht="15.75" customHeight="1">
      <c r="A183" s="4"/>
    </row>
    <row r="184" ht="15.75" customHeight="1">
      <c r="A184" s="4"/>
    </row>
    <row r="185" ht="15.75" customHeight="1">
      <c r="A185" s="4"/>
    </row>
    <row r="186" ht="15.75" customHeight="1">
      <c r="A186" s="4"/>
    </row>
    <row r="187" ht="15.75" customHeight="1">
      <c r="A187" s="4"/>
    </row>
    <row r="188" ht="15.75" customHeight="1">
      <c r="A188" s="4"/>
    </row>
    <row r="189" ht="15.75" customHeight="1">
      <c r="A189" s="4"/>
    </row>
    <row r="190" ht="15.75" customHeight="1">
      <c r="A190" s="4"/>
    </row>
    <row r="191" ht="15.75" customHeight="1">
      <c r="A191" s="4"/>
    </row>
    <row r="192" ht="15.75" customHeight="1">
      <c r="A192" s="4"/>
    </row>
    <row r="193" ht="15.75" customHeight="1">
      <c r="A193" s="4"/>
    </row>
    <row r="194" ht="15.75" customHeight="1">
      <c r="A194" s="4"/>
    </row>
    <row r="195" ht="15.75" customHeight="1">
      <c r="A195" s="4"/>
    </row>
    <row r="196" ht="15.75" customHeight="1">
      <c r="A196" s="4"/>
    </row>
    <row r="197" ht="15.75" customHeight="1">
      <c r="A197" s="4"/>
    </row>
    <row r="198" ht="15.75" customHeight="1">
      <c r="A198" s="4"/>
    </row>
    <row r="199" ht="15.75" customHeight="1">
      <c r="A199" s="4"/>
    </row>
    <row r="200" ht="15.75" customHeight="1">
      <c r="A200" s="4"/>
    </row>
    <row r="201" ht="15.75" customHeight="1">
      <c r="A201" s="4"/>
    </row>
    <row r="202" ht="15.75" customHeight="1">
      <c r="A202" s="4"/>
    </row>
    <row r="203" ht="15.75" customHeight="1">
      <c r="A203" s="4"/>
    </row>
    <row r="204" ht="15.75" customHeight="1">
      <c r="A204" s="4"/>
    </row>
    <row r="205" ht="15.75" customHeight="1">
      <c r="A205" s="4"/>
    </row>
    <row r="206" ht="15.75" customHeight="1">
      <c r="A206" s="4"/>
    </row>
    <row r="207" ht="15.75" customHeight="1">
      <c r="A207" s="4"/>
    </row>
    <row r="208" ht="15.75" customHeight="1">
      <c r="A208" s="4"/>
    </row>
    <row r="209" ht="15.75" customHeight="1">
      <c r="A209" s="4"/>
    </row>
    <row r="210" ht="15.75" customHeight="1">
      <c r="A210" s="4"/>
    </row>
    <row r="211" ht="15.75" customHeight="1">
      <c r="A211" s="4"/>
    </row>
    <row r="212" ht="15.75" customHeight="1">
      <c r="A212" s="4"/>
    </row>
    <row r="213" ht="15.75" customHeight="1">
      <c r="A213" s="4"/>
    </row>
    <row r="214" ht="15.75" customHeight="1">
      <c r="A214" s="4"/>
    </row>
    <row r="215" ht="15.75" customHeight="1">
      <c r="A215" s="4"/>
    </row>
    <row r="216" ht="15.75" customHeight="1">
      <c r="A216" s="4"/>
    </row>
    <row r="217" ht="15.75" customHeight="1">
      <c r="A217" s="4"/>
    </row>
    <row r="218" ht="15.75" customHeight="1">
      <c r="A218" s="4"/>
    </row>
    <row r="219" ht="15.75" customHeight="1">
      <c r="A219" s="4"/>
    </row>
    <row r="220" ht="15.75" customHeight="1">
      <c r="A220" s="4"/>
    </row>
    <row r="221" ht="15.75" customHeight="1">
      <c r="A221" s="4"/>
    </row>
    <row r="222" ht="15.75" customHeight="1">
      <c r="A222" s="4"/>
    </row>
    <row r="223" ht="15.75" customHeight="1">
      <c r="A223" s="8"/>
    </row>
    <row r="224" ht="15.75" customHeight="1">
      <c r="A224" s="8"/>
    </row>
    <row r="225" ht="15.75" customHeight="1">
      <c r="A225" s="8"/>
    </row>
    <row r="226" ht="15.75" customHeight="1">
      <c r="A226" s="8"/>
    </row>
    <row r="227" ht="15.75" customHeight="1">
      <c r="A227" s="8"/>
    </row>
    <row r="228" ht="15.75" customHeight="1">
      <c r="A228" s="8"/>
    </row>
    <row r="229" ht="15.7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>
      <c r="A343" s="8"/>
    </row>
    <row r="344" ht="15.75" customHeight="1">
      <c r="A344" s="8"/>
    </row>
    <row r="345" ht="15.75" customHeight="1">
      <c r="A345" s="8"/>
    </row>
    <row r="346" ht="15.75" customHeight="1">
      <c r="A346" s="8"/>
    </row>
    <row r="347" ht="15.75" customHeight="1">
      <c r="A347" s="8"/>
    </row>
    <row r="348" ht="15.75" customHeight="1">
      <c r="A348" s="8"/>
    </row>
    <row r="349" ht="15.75" customHeight="1">
      <c r="A349" s="8"/>
    </row>
    <row r="350" ht="15.75" customHeight="1">
      <c r="A350" s="8"/>
    </row>
    <row r="351" ht="15.75" customHeight="1">
      <c r="A351" s="8"/>
    </row>
    <row r="352" ht="15.75" customHeight="1">
      <c r="A352" s="8"/>
    </row>
    <row r="353" ht="15.75" customHeight="1">
      <c r="A353" s="8"/>
    </row>
    <row r="354" ht="15.75" customHeight="1">
      <c r="A354" s="8"/>
    </row>
    <row r="355" ht="15.75" customHeight="1">
      <c r="A355" s="8"/>
    </row>
    <row r="356" ht="15.75" customHeight="1">
      <c r="A356" s="8"/>
    </row>
    <row r="357" ht="15.75" customHeight="1">
      <c r="A357" s="8"/>
    </row>
    <row r="358" ht="15.75" customHeight="1">
      <c r="A358" s="8"/>
    </row>
    <row r="359" ht="15.75" customHeight="1">
      <c r="A359" s="8"/>
    </row>
    <row r="360" ht="15.75" customHeight="1">
      <c r="A360" s="8"/>
    </row>
    <row r="361" ht="15.75" customHeight="1">
      <c r="A361" s="8"/>
    </row>
    <row r="362" ht="15.75" customHeight="1">
      <c r="A362" s="8"/>
    </row>
    <row r="363" ht="15.75" customHeight="1">
      <c r="A363" s="8"/>
    </row>
    <row r="364" ht="15.75" customHeight="1">
      <c r="A364" s="8"/>
    </row>
    <row r="365" ht="15.75" customHeight="1">
      <c r="A365" s="8"/>
    </row>
    <row r="366" ht="15.75" customHeight="1">
      <c r="A366" s="8"/>
    </row>
    <row r="367" ht="15.75" customHeight="1">
      <c r="A367" s="8"/>
    </row>
    <row r="368" ht="15.75" customHeight="1">
      <c r="A368" s="8"/>
    </row>
    <row r="369" ht="15.75" customHeight="1">
      <c r="A369" s="8"/>
    </row>
    <row r="370" ht="15.75" customHeight="1">
      <c r="A370" s="8"/>
    </row>
    <row r="371" ht="15.75" customHeight="1">
      <c r="A371" s="8"/>
    </row>
    <row r="372" ht="15.75" customHeight="1">
      <c r="A372" s="8"/>
    </row>
    <row r="373" ht="15.75" customHeight="1">
      <c r="A373" s="8"/>
    </row>
    <row r="374" ht="15.75" customHeight="1">
      <c r="A374" s="8"/>
    </row>
    <row r="375" ht="15.75" customHeight="1">
      <c r="A375" s="8"/>
    </row>
    <row r="376" ht="15.75" customHeight="1">
      <c r="A376" s="8"/>
    </row>
    <row r="377" ht="15.75" customHeight="1">
      <c r="A377" s="8"/>
    </row>
    <row r="378" ht="15.75" customHeight="1">
      <c r="A378" s="8"/>
    </row>
    <row r="379" ht="15.75" customHeight="1">
      <c r="A379" s="8"/>
    </row>
    <row r="380" ht="15.75" customHeight="1">
      <c r="A380" s="8"/>
    </row>
    <row r="381" ht="15.75" customHeight="1">
      <c r="A381" s="8"/>
    </row>
    <row r="382" ht="15.75" customHeight="1">
      <c r="A382" s="8"/>
    </row>
    <row r="383" ht="15.75" customHeight="1">
      <c r="A383" s="8"/>
    </row>
    <row r="384" ht="15.75" customHeight="1">
      <c r="A384" s="8"/>
    </row>
    <row r="385" ht="15.75" customHeight="1">
      <c r="A385" s="8"/>
    </row>
    <row r="386" ht="15.75" customHeight="1">
      <c r="A386" s="8"/>
    </row>
    <row r="387" ht="15.75" customHeight="1">
      <c r="A387" s="8"/>
    </row>
    <row r="388" ht="15.75" customHeight="1">
      <c r="A388" s="8"/>
    </row>
    <row r="389" ht="15.75" customHeight="1">
      <c r="A389" s="8"/>
    </row>
    <row r="390" ht="15.75" customHeight="1">
      <c r="A390" s="8"/>
    </row>
    <row r="391" ht="15.75" customHeight="1">
      <c r="A391" s="8"/>
    </row>
    <row r="392" ht="15.75" customHeight="1">
      <c r="A392" s="8"/>
    </row>
    <row r="393" ht="15.75" customHeight="1">
      <c r="A393" s="8"/>
    </row>
    <row r="394" ht="15.75" customHeight="1">
      <c r="A394" s="8"/>
    </row>
    <row r="395" ht="15.75" customHeight="1">
      <c r="A395" s="8"/>
    </row>
    <row r="396" ht="15.75" customHeight="1">
      <c r="A396" s="8"/>
    </row>
    <row r="397" ht="15.75" customHeight="1">
      <c r="A397" s="8"/>
    </row>
    <row r="398" ht="15.75" customHeight="1">
      <c r="A398" s="8"/>
    </row>
    <row r="399" ht="15.75" customHeight="1">
      <c r="A399" s="8"/>
    </row>
    <row r="400" ht="15.75" customHeight="1">
      <c r="A400" s="8"/>
    </row>
    <row r="401" ht="15.75" customHeight="1">
      <c r="A401" s="8"/>
    </row>
    <row r="402" ht="15.75" customHeight="1">
      <c r="A402" s="8"/>
    </row>
    <row r="403" ht="15.75" customHeight="1">
      <c r="A403" s="8"/>
    </row>
    <row r="404" ht="15.75" customHeight="1">
      <c r="A404" s="8"/>
    </row>
    <row r="405" ht="15.75" customHeight="1">
      <c r="A405" s="8"/>
    </row>
    <row r="406" ht="15.75" customHeight="1">
      <c r="A406" s="8"/>
    </row>
    <row r="407" ht="15.75" customHeight="1">
      <c r="A407" s="8"/>
    </row>
    <row r="408" ht="15.75" customHeight="1">
      <c r="A408" s="8"/>
    </row>
    <row r="409" ht="15.75" customHeight="1">
      <c r="A409" s="8"/>
    </row>
    <row r="410" ht="15.75" customHeight="1">
      <c r="A410" s="8"/>
    </row>
    <row r="411" ht="15.75" customHeight="1">
      <c r="A411" s="8"/>
    </row>
    <row r="412" ht="15.75" customHeight="1">
      <c r="A412" s="8"/>
    </row>
    <row r="413" ht="15.75" customHeight="1">
      <c r="A413" s="8"/>
    </row>
    <row r="414" ht="15.75" customHeight="1">
      <c r="A414" s="8"/>
    </row>
    <row r="415" ht="15.75" customHeight="1">
      <c r="A415" s="8"/>
    </row>
    <row r="416" ht="15.75" customHeight="1">
      <c r="A416" s="8"/>
    </row>
    <row r="417" ht="15.75" customHeight="1">
      <c r="A417" s="8"/>
    </row>
    <row r="418" ht="15.75" customHeight="1">
      <c r="A418" s="8"/>
    </row>
    <row r="419" ht="15.75" customHeight="1">
      <c r="A419" s="8"/>
    </row>
    <row r="420" ht="15.75" customHeight="1">
      <c r="A420" s="8"/>
    </row>
    <row r="421" ht="15.75" customHeight="1">
      <c r="A421" s="8"/>
    </row>
    <row r="422" ht="15.75" customHeight="1">
      <c r="A422" s="8"/>
    </row>
    <row r="423" ht="15.75" customHeight="1">
      <c r="A423" s="8"/>
    </row>
    <row r="424" ht="15.75" customHeight="1">
      <c r="A424" s="8"/>
    </row>
    <row r="425" ht="15.75" customHeight="1">
      <c r="A425" s="8"/>
    </row>
    <row r="426" ht="15.75" customHeight="1">
      <c r="A426" s="8"/>
    </row>
    <row r="427" ht="15.75" customHeight="1">
      <c r="A427" s="8"/>
    </row>
    <row r="428" ht="15.75" customHeight="1">
      <c r="A428" s="8"/>
    </row>
    <row r="429" ht="15.75" customHeight="1">
      <c r="A429" s="8"/>
    </row>
    <row r="430" ht="15.75" customHeight="1">
      <c r="A430" s="8"/>
    </row>
    <row r="431" ht="15.75" customHeight="1">
      <c r="A431" s="8"/>
    </row>
    <row r="432" ht="15.75" customHeight="1">
      <c r="A432" s="8"/>
    </row>
    <row r="433" ht="15.75" customHeight="1">
      <c r="A433" s="8"/>
    </row>
    <row r="434" ht="15.75" customHeight="1">
      <c r="A434" s="8"/>
    </row>
    <row r="435" ht="15.75" customHeight="1">
      <c r="A435" s="8"/>
    </row>
    <row r="436" ht="15.75" customHeight="1">
      <c r="A436" s="8"/>
    </row>
    <row r="437" ht="15.75" customHeight="1">
      <c r="A437" s="8"/>
    </row>
    <row r="438" ht="15.75" customHeight="1">
      <c r="A438" s="8"/>
    </row>
    <row r="439" ht="15.75" customHeight="1">
      <c r="A439" s="8"/>
    </row>
    <row r="440" ht="15.75" customHeight="1">
      <c r="A440" s="8"/>
    </row>
    <row r="441" ht="15.75" customHeight="1">
      <c r="A441" s="8"/>
    </row>
    <row r="442" ht="15.75" customHeight="1">
      <c r="A442" s="8"/>
    </row>
    <row r="443" ht="15.75" customHeight="1">
      <c r="A443" s="8"/>
    </row>
    <row r="444" ht="15.75" customHeight="1">
      <c r="A444" s="8"/>
    </row>
    <row r="445" ht="15.75" customHeight="1">
      <c r="A445" s="8"/>
    </row>
    <row r="446" ht="15.75" customHeight="1">
      <c r="A446" s="8"/>
    </row>
    <row r="447" ht="15.75" customHeight="1">
      <c r="A447" s="8"/>
    </row>
    <row r="448" ht="15.75" customHeight="1">
      <c r="A448" s="8"/>
    </row>
    <row r="449" ht="15.75" customHeight="1">
      <c r="A449" s="8"/>
    </row>
    <row r="450" ht="15.75" customHeight="1">
      <c r="A450" s="8"/>
    </row>
    <row r="451" ht="15.75" customHeight="1">
      <c r="A451" s="8"/>
    </row>
    <row r="452" ht="15.75" customHeight="1">
      <c r="A452" s="8"/>
    </row>
    <row r="453" ht="15.75" customHeight="1">
      <c r="A453" s="8"/>
    </row>
    <row r="454" ht="15.75" customHeight="1">
      <c r="A454" s="8"/>
    </row>
    <row r="455" ht="15.75" customHeight="1">
      <c r="A455" s="8"/>
    </row>
    <row r="456" ht="15.75" customHeight="1">
      <c r="A456" s="8"/>
    </row>
    <row r="457" ht="15.75" customHeight="1">
      <c r="A457" s="8"/>
    </row>
    <row r="458" ht="15.75" customHeight="1">
      <c r="A458" s="8"/>
    </row>
    <row r="459" ht="15.75" customHeight="1">
      <c r="A459" s="8"/>
    </row>
    <row r="460" ht="15.75" customHeight="1">
      <c r="A460" s="8"/>
    </row>
    <row r="461" ht="15.75" customHeight="1">
      <c r="A461" s="8"/>
    </row>
    <row r="462" ht="15.75" customHeight="1">
      <c r="A462" s="8"/>
    </row>
    <row r="463" ht="15.75" customHeight="1">
      <c r="A463" s="8"/>
    </row>
    <row r="464" ht="15.75" customHeight="1">
      <c r="A464" s="8"/>
    </row>
    <row r="465" ht="15.75" customHeight="1">
      <c r="A465" s="8"/>
    </row>
    <row r="466" ht="15.75" customHeight="1">
      <c r="A466" s="8"/>
    </row>
    <row r="467" ht="15.75" customHeight="1">
      <c r="A467" s="8"/>
    </row>
    <row r="468" ht="15.75" customHeight="1">
      <c r="A468" s="8"/>
    </row>
    <row r="469" ht="15.75" customHeight="1">
      <c r="A469" s="8"/>
    </row>
    <row r="470" ht="15.75" customHeight="1">
      <c r="A470" s="8"/>
    </row>
    <row r="471" ht="15.75" customHeight="1">
      <c r="A471" s="8"/>
    </row>
    <row r="472" ht="15.75" customHeight="1">
      <c r="A472" s="8"/>
    </row>
    <row r="473" ht="15.75" customHeight="1">
      <c r="A473" s="8"/>
    </row>
    <row r="474" ht="15.75" customHeight="1">
      <c r="A474" s="8"/>
    </row>
    <row r="475" ht="15.75" customHeight="1">
      <c r="A475" s="8"/>
    </row>
    <row r="476" ht="15.75" customHeight="1">
      <c r="A476" s="8"/>
    </row>
    <row r="477" ht="15.75" customHeight="1">
      <c r="A477" s="8"/>
    </row>
    <row r="478" ht="15.75" customHeight="1">
      <c r="A478" s="8"/>
    </row>
    <row r="479" ht="15.75" customHeight="1">
      <c r="A479" s="8"/>
    </row>
    <row r="480" ht="15.75" customHeight="1">
      <c r="A480" s="8"/>
    </row>
    <row r="481" ht="15.75" customHeight="1">
      <c r="A481" s="8"/>
    </row>
    <row r="482" ht="15.75" customHeight="1">
      <c r="A482" s="8"/>
    </row>
    <row r="483" ht="15.75" customHeight="1">
      <c r="A483" s="8"/>
    </row>
    <row r="484" ht="15.75" customHeight="1">
      <c r="A484" s="8"/>
    </row>
    <row r="485" ht="15.75" customHeight="1">
      <c r="A485" s="8"/>
    </row>
    <row r="486" ht="15.75" customHeight="1">
      <c r="A486" s="8"/>
    </row>
    <row r="487" ht="15.75" customHeight="1">
      <c r="A487" s="8"/>
    </row>
    <row r="488" ht="15.75" customHeight="1">
      <c r="A488" s="8"/>
    </row>
    <row r="489" ht="15.75" customHeight="1">
      <c r="A489" s="8"/>
    </row>
    <row r="490" ht="15.75" customHeight="1">
      <c r="A490" s="8"/>
    </row>
    <row r="491" ht="15.75" customHeight="1">
      <c r="A491" s="8"/>
    </row>
    <row r="492" ht="15.75" customHeight="1">
      <c r="A492" s="8"/>
    </row>
    <row r="493" ht="15.75" customHeight="1">
      <c r="A493" s="8"/>
    </row>
    <row r="494" ht="15.75" customHeight="1">
      <c r="A494" s="8"/>
    </row>
    <row r="495" ht="15.75" customHeight="1">
      <c r="A495" s="8"/>
    </row>
    <row r="496" ht="15.75" customHeight="1">
      <c r="A496" s="8"/>
    </row>
    <row r="497" ht="15.75" customHeight="1">
      <c r="A497" s="8"/>
    </row>
    <row r="498" ht="15.75" customHeight="1">
      <c r="A498" s="8"/>
    </row>
    <row r="499" ht="15.75" customHeight="1">
      <c r="A499" s="8"/>
    </row>
    <row r="500" ht="15.75" customHeight="1">
      <c r="A500" s="8"/>
    </row>
    <row r="501" ht="15.75" customHeight="1">
      <c r="A501" s="8"/>
    </row>
    <row r="502" ht="15.75" customHeight="1">
      <c r="A502" s="8"/>
    </row>
    <row r="503" ht="15.75" customHeight="1">
      <c r="A503" s="8"/>
    </row>
    <row r="504" ht="15.75" customHeight="1">
      <c r="A504" s="8"/>
    </row>
    <row r="505" ht="15.75" customHeight="1">
      <c r="A505" s="8"/>
    </row>
    <row r="506" ht="15.75" customHeight="1">
      <c r="A506" s="8"/>
    </row>
    <row r="507" ht="15.75" customHeight="1">
      <c r="A507" s="8"/>
    </row>
    <row r="508" ht="15.75" customHeight="1">
      <c r="A508" s="8"/>
    </row>
    <row r="509" ht="15.75" customHeight="1">
      <c r="A509" s="8"/>
    </row>
    <row r="510" ht="15.75" customHeight="1">
      <c r="A510" s="8"/>
    </row>
    <row r="511" ht="15.75" customHeight="1">
      <c r="A511" s="8"/>
    </row>
    <row r="512" ht="15.75" customHeight="1">
      <c r="A512" s="8"/>
    </row>
    <row r="513" ht="15.75" customHeight="1">
      <c r="A513" s="8"/>
    </row>
    <row r="514" ht="15.75" customHeight="1">
      <c r="A514" s="8"/>
    </row>
    <row r="515" ht="15.75" customHeight="1">
      <c r="A515" s="8"/>
    </row>
    <row r="516" ht="15.75" customHeight="1">
      <c r="A516" s="8"/>
    </row>
    <row r="517" ht="15.75" customHeight="1">
      <c r="A517" s="8"/>
    </row>
    <row r="518" ht="15.75" customHeight="1">
      <c r="A518" s="8"/>
    </row>
    <row r="519" ht="15.75" customHeight="1">
      <c r="A519" s="8"/>
    </row>
    <row r="520" ht="15.75" customHeight="1">
      <c r="A520" s="8"/>
    </row>
    <row r="521" ht="15.75" customHeight="1">
      <c r="A521" s="8"/>
    </row>
    <row r="522" ht="15.75" customHeight="1">
      <c r="A522" s="8"/>
    </row>
    <row r="523" ht="15.75" customHeight="1">
      <c r="A523" s="8"/>
    </row>
    <row r="524" ht="15.75" customHeight="1">
      <c r="A524" s="8"/>
    </row>
    <row r="525" ht="15.75" customHeight="1">
      <c r="A525" s="8"/>
    </row>
    <row r="526" ht="15.75" customHeight="1">
      <c r="A526" s="8"/>
    </row>
    <row r="527" ht="15.75" customHeight="1">
      <c r="A527" s="8"/>
    </row>
    <row r="528" ht="15.75" customHeight="1">
      <c r="A528" s="8"/>
    </row>
    <row r="529" ht="15.75" customHeight="1">
      <c r="A529" s="8"/>
    </row>
    <row r="530" ht="15.75" customHeight="1">
      <c r="A530" s="8"/>
    </row>
    <row r="531" ht="15.75" customHeight="1">
      <c r="A531" s="8"/>
    </row>
    <row r="532" ht="15.75" customHeight="1">
      <c r="A532" s="8"/>
    </row>
    <row r="533" ht="15.75" customHeight="1">
      <c r="A533" s="8"/>
    </row>
    <row r="534" ht="15.75" customHeight="1">
      <c r="A534" s="8"/>
    </row>
    <row r="535" ht="15.75" customHeight="1">
      <c r="A535" s="8"/>
    </row>
    <row r="536" ht="15.75" customHeight="1">
      <c r="A536" s="8"/>
    </row>
    <row r="537" ht="15.75" customHeight="1">
      <c r="A537" s="8"/>
    </row>
    <row r="538" ht="15.75" customHeight="1">
      <c r="A538" s="8"/>
    </row>
    <row r="539" ht="15.75" customHeight="1">
      <c r="A539" s="8"/>
    </row>
    <row r="540" ht="15.75" customHeight="1">
      <c r="A540" s="8"/>
    </row>
    <row r="541" ht="15.75" customHeight="1">
      <c r="A541" s="8"/>
    </row>
    <row r="542" ht="15.75" customHeight="1">
      <c r="A542" s="8"/>
    </row>
    <row r="543" ht="15.75" customHeight="1">
      <c r="A543" s="8"/>
    </row>
    <row r="544" ht="15.75" customHeight="1">
      <c r="A544" s="8"/>
    </row>
    <row r="545" ht="15.75" customHeight="1">
      <c r="A545" s="8"/>
    </row>
    <row r="546" ht="15.75" customHeight="1">
      <c r="A546" s="8"/>
    </row>
    <row r="547" ht="15.75" customHeight="1">
      <c r="A547" s="8"/>
    </row>
    <row r="548" ht="15.75" customHeight="1">
      <c r="A548" s="8"/>
    </row>
    <row r="549" ht="15.75" customHeight="1">
      <c r="A549" s="8"/>
    </row>
    <row r="550" ht="15.75" customHeight="1">
      <c r="A550" s="8"/>
    </row>
    <row r="551" ht="15.75" customHeight="1">
      <c r="A551" s="8"/>
    </row>
    <row r="552" ht="15.75" customHeight="1">
      <c r="A552" s="8"/>
    </row>
    <row r="553" ht="15.75" customHeight="1">
      <c r="A553" s="8"/>
    </row>
    <row r="554" ht="15.75" customHeight="1">
      <c r="A554" s="8"/>
    </row>
    <row r="555" ht="15.75" customHeight="1">
      <c r="A555" s="8"/>
    </row>
    <row r="556" ht="15.75" customHeight="1">
      <c r="A556" s="8"/>
    </row>
    <row r="557" ht="15.75" customHeight="1">
      <c r="A557" s="8"/>
    </row>
    <row r="558" ht="15.75" customHeight="1">
      <c r="A558" s="8"/>
    </row>
    <row r="559" ht="15.75" customHeight="1">
      <c r="A559" s="8"/>
    </row>
    <row r="560" ht="15.75" customHeight="1">
      <c r="A560" s="8"/>
    </row>
    <row r="561" ht="15.75" customHeight="1">
      <c r="A561" s="8"/>
    </row>
    <row r="562" ht="15.75" customHeight="1">
      <c r="A562" s="8"/>
    </row>
    <row r="563" ht="15.75" customHeight="1">
      <c r="A563" s="8"/>
    </row>
    <row r="564" ht="15.75" customHeight="1">
      <c r="A564" s="8"/>
    </row>
    <row r="565" ht="15.75" customHeight="1">
      <c r="A565" s="8"/>
    </row>
    <row r="566" ht="15.75" customHeight="1">
      <c r="A566" s="8"/>
    </row>
    <row r="567" ht="15.75" customHeight="1">
      <c r="A567" s="8"/>
    </row>
    <row r="568" ht="15.75" customHeight="1">
      <c r="A568" s="8"/>
    </row>
    <row r="569" ht="15.75" customHeight="1">
      <c r="A569" s="8"/>
    </row>
    <row r="570" ht="15.75" customHeight="1">
      <c r="A570" s="8"/>
    </row>
    <row r="571" ht="15.75" customHeight="1">
      <c r="A571" s="8"/>
    </row>
    <row r="572" ht="15.75" customHeight="1">
      <c r="A572" s="8"/>
    </row>
    <row r="573" ht="15.75" customHeight="1">
      <c r="A573" s="8"/>
    </row>
    <row r="574" ht="15.75" customHeight="1">
      <c r="A574" s="8"/>
    </row>
    <row r="575" ht="15.75" customHeight="1">
      <c r="A575" s="8"/>
    </row>
    <row r="576" ht="15.75" customHeight="1">
      <c r="A576" s="8"/>
    </row>
    <row r="577" ht="15.75" customHeight="1">
      <c r="A577" s="8"/>
    </row>
    <row r="578" ht="15.75" customHeight="1">
      <c r="A578" s="8"/>
    </row>
    <row r="579" ht="15.75" customHeight="1">
      <c r="A579" s="8"/>
    </row>
    <row r="580" ht="15.75" customHeight="1">
      <c r="A580" s="8"/>
    </row>
    <row r="581" ht="15.75" customHeight="1">
      <c r="A581" s="8"/>
    </row>
    <row r="582" ht="15.75" customHeight="1">
      <c r="A582" s="8"/>
    </row>
    <row r="583" ht="15.75" customHeight="1">
      <c r="A583" s="8"/>
    </row>
    <row r="584" ht="15.75" customHeight="1">
      <c r="A584" s="8"/>
    </row>
    <row r="585" ht="15.75" customHeight="1">
      <c r="A585" s="8"/>
    </row>
    <row r="586" ht="15.75" customHeight="1">
      <c r="A586" s="8"/>
    </row>
    <row r="587" ht="15.75" customHeight="1">
      <c r="A587" s="8"/>
    </row>
    <row r="588" ht="15.75" customHeight="1">
      <c r="A588" s="8"/>
    </row>
    <row r="589" ht="15.75" customHeight="1">
      <c r="A589" s="8"/>
    </row>
    <row r="590" ht="15.75" customHeight="1">
      <c r="A590" s="8"/>
    </row>
    <row r="591" ht="15.75" customHeight="1">
      <c r="A591" s="8"/>
    </row>
    <row r="592" ht="15.75" customHeight="1">
      <c r="A592" s="8"/>
    </row>
    <row r="593" ht="15.75" customHeight="1">
      <c r="A593" s="8"/>
    </row>
    <row r="594" ht="15.75" customHeight="1">
      <c r="A594" s="8"/>
    </row>
    <row r="595" ht="15.75" customHeight="1">
      <c r="A595" s="8"/>
    </row>
    <row r="596" ht="15.75" customHeight="1">
      <c r="A596" s="8"/>
    </row>
    <row r="597" ht="15.75" customHeight="1">
      <c r="A597" s="8"/>
    </row>
    <row r="598" ht="15.75" customHeight="1">
      <c r="A598" s="8"/>
    </row>
    <row r="599" ht="15.75" customHeight="1">
      <c r="A599" s="8"/>
    </row>
    <row r="600" ht="15.75" customHeight="1">
      <c r="A600" s="8"/>
    </row>
    <row r="601" ht="15.75" customHeight="1">
      <c r="A601" s="8"/>
    </row>
    <row r="602" ht="15.75" customHeight="1">
      <c r="A602" s="8"/>
    </row>
    <row r="603" ht="15.75" customHeight="1">
      <c r="A603" s="8"/>
    </row>
    <row r="604" ht="15.75" customHeight="1">
      <c r="A604" s="8"/>
    </row>
    <row r="605" ht="15.75" customHeight="1">
      <c r="A605" s="8"/>
    </row>
    <row r="606" ht="15.75" customHeight="1">
      <c r="A606" s="8"/>
    </row>
    <row r="607" ht="15.75" customHeight="1">
      <c r="A607" s="8"/>
    </row>
    <row r="608" ht="15.75" customHeight="1">
      <c r="A608" s="8"/>
    </row>
    <row r="609" ht="15.75" customHeight="1">
      <c r="A609" s="8"/>
    </row>
    <row r="610" ht="15.75" customHeight="1">
      <c r="A610" s="8"/>
    </row>
    <row r="611" ht="15.75" customHeight="1">
      <c r="A611" s="8"/>
    </row>
    <row r="612" ht="15.75" customHeight="1">
      <c r="A612" s="8"/>
    </row>
    <row r="613" ht="15.75" customHeight="1">
      <c r="A613" s="8"/>
    </row>
    <row r="614" ht="15.75" customHeight="1">
      <c r="A614" s="8"/>
    </row>
    <row r="615" ht="15.75" customHeight="1">
      <c r="A615" s="8"/>
    </row>
    <row r="616" ht="15.75" customHeight="1">
      <c r="A616" s="8"/>
    </row>
    <row r="617" ht="15.75" customHeight="1">
      <c r="A617" s="8"/>
    </row>
    <row r="618" ht="15.75" customHeight="1">
      <c r="A618" s="8"/>
    </row>
    <row r="619" ht="15.75" customHeight="1">
      <c r="A619" s="8"/>
    </row>
    <row r="620" ht="15.75" customHeight="1">
      <c r="A620" s="8"/>
    </row>
    <row r="621" ht="15.75" customHeight="1">
      <c r="A621" s="8"/>
    </row>
    <row r="622" ht="15.75" customHeight="1">
      <c r="A622" s="8"/>
    </row>
    <row r="623" ht="15.75" customHeight="1">
      <c r="A623" s="8"/>
    </row>
    <row r="624" ht="15.75" customHeight="1">
      <c r="A624" s="8"/>
    </row>
    <row r="625" ht="15.75" customHeight="1">
      <c r="A625" s="8"/>
    </row>
    <row r="626" ht="15.75" customHeight="1">
      <c r="A626" s="8"/>
    </row>
    <row r="627" ht="15.75" customHeight="1">
      <c r="A627" s="8"/>
    </row>
    <row r="628" ht="15.75" customHeight="1">
      <c r="A628" s="8"/>
    </row>
    <row r="629" ht="15.75" customHeight="1">
      <c r="A629" s="8"/>
    </row>
    <row r="630" ht="15.75" customHeight="1">
      <c r="A630" s="8"/>
    </row>
    <row r="631" ht="15.75" customHeight="1">
      <c r="A631" s="8"/>
    </row>
    <row r="632" ht="15.75" customHeight="1">
      <c r="A632" s="8"/>
    </row>
    <row r="633" ht="15.75" customHeight="1">
      <c r="A633" s="8"/>
    </row>
    <row r="634" ht="15.75" customHeight="1">
      <c r="A634" s="8"/>
    </row>
    <row r="635" ht="15.75" customHeight="1">
      <c r="A635" s="8"/>
    </row>
    <row r="636" ht="15.75" customHeight="1">
      <c r="A636" s="8"/>
    </row>
    <row r="637" ht="15.75" customHeight="1">
      <c r="A637" s="8"/>
    </row>
    <row r="638" ht="15.75" customHeight="1">
      <c r="A638" s="8"/>
    </row>
    <row r="639" ht="15.75" customHeight="1">
      <c r="A639" s="8"/>
    </row>
    <row r="640" ht="15.75" customHeight="1">
      <c r="A640" s="8"/>
    </row>
    <row r="641" ht="15.75" customHeight="1">
      <c r="A641" s="8"/>
    </row>
    <row r="642" ht="15.75" customHeight="1">
      <c r="A642" s="8"/>
    </row>
    <row r="643" ht="15.75" customHeight="1">
      <c r="A643" s="8"/>
    </row>
    <row r="644" ht="15.75" customHeight="1">
      <c r="A644" s="8"/>
    </row>
    <row r="645" ht="15.75" customHeight="1">
      <c r="A645" s="8"/>
    </row>
    <row r="646" ht="15.75" customHeight="1">
      <c r="A646" s="8"/>
    </row>
    <row r="647" ht="15.75" customHeight="1">
      <c r="A647" s="8"/>
    </row>
    <row r="648" ht="15.75" customHeight="1">
      <c r="A648" s="8"/>
    </row>
    <row r="649" ht="15.75" customHeight="1">
      <c r="A649" s="8"/>
    </row>
    <row r="650" ht="15.75" customHeight="1">
      <c r="A650" s="8"/>
    </row>
    <row r="651" ht="15.75" customHeight="1">
      <c r="A651" s="8"/>
    </row>
    <row r="652" ht="15.75" customHeight="1">
      <c r="A652" s="8"/>
    </row>
    <row r="653" ht="15.75" customHeight="1">
      <c r="A653" s="8"/>
    </row>
    <row r="654" ht="15.75" customHeight="1">
      <c r="A654" s="8"/>
    </row>
    <row r="655" ht="15.75" customHeight="1">
      <c r="A655" s="8"/>
    </row>
    <row r="656" ht="15.75" customHeight="1">
      <c r="A656" s="8"/>
    </row>
    <row r="657" ht="15.75" customHeight="1">
      <c r="A657" s="8"/>
    </row>
    <row r="658" ht="15.75" customHeight="1">
      <c r="A658" s="8"/>
    </row>
    <row r="659" ht="15.75" customHeight="1">
      <c r="A659" s="8"/>
    </row>
    <row r="660" ht="15.75" customHeight="1">
      <c r="A660" s="8"/>
    </row>
    <row r="661" ht="15.75" customHeight="1">
      <c r="A661" s="8"/>
    </row>
    <row r="662" ht="15.75" customHeight="1">
      <c r="A662" s="8"/>
    </row>
    <row r="663" ht="15.75" customHeight="1">
      <c r="A663" s="8"/>
    </row>
    <row r="664" ht="15.75" customHeight="1">
      <c r="A664" s="8"/>
    </row>
    <row r="665" ht="15.75" customHeight="1">
      <c r="A665" s="8"/>
    </row>
    <row r="666" ht="15.75" customHeight="1">
      <c r="A666" s="8"/>
    </row>
    <row r="667" ht="15.75" customHeight="1">
      <c r="A667" s="8"/>
    </row>
    <row r="668" ht="15.75" customHeight="1">
      <c r="A668" s="8"/>
    </row>
    <row r="669" ht="15.75" customHeight="1">
      <c r="A669" s="8"/>
    </row>
    <row r="670" ht="15.75" customHeight="1">
      <c r="A670" s="8"/>
    </row>
    <row r="671" ht="15.75" customHeight="1">
      <c r="A671" s="8"/>
    </row>
    <row r="672" ht="15.75" customHeight="1">
      <c r="A672" s="8"/>
    </row>
    <row r="673" ht="15.75" customHeight="1">
      <c r="A673" s="8"/>
    </row>
    <row r="674" ht="15.75" customHeight="1">
      <c r="A674" s="8"/>
    </row>
    <row r="675" ht="15.75" customHeight="1">
      <c r="A675" s="8"/>
    </row>
    <row r="676" ht="15.75" customHeight="1">
      <c r="A676" s="8"/>
    </row>
    <row r="677" ht="15.75" customHeight="1">
      <c r="A677" s="8"/>
    </row>
    <row r="678" ht="15.75" customHeight="1">
      <c r="A678" s="8"/>
    </row>
    <row r="679" ht="15.75" customHeight="1">
      <c r="A679" s="8"/>
    </row>
    <row r="680" ht="15.75" customHeight="1">
      <c r="A680" s="8"/>
    </row>
    <row r="681" ht="15.75" customHeight="1">
      <c r="A681" s="8"/>
    </row>
    <row r="682" ht="15.75" customHeight="1">
      <c r="A682" s="8"/>
    </row>
    <row r="683" ht="15.75" customHeight="1">
      <c r="A683" s="8"/>
    </row>
    <row r="684" ht="15.75" customHeight="1">
      <c r="A684" s="8"/>
    </row>
    <row r="685" ht="15.75" customHeight="1">
      <c r="A685" s="8"/>
    </row>
    <row r="686" ht="15.75" customHeight="1">
      <c r="A686" s="8"/>
    </row>
    <row r="687" ht="15.75" customHeight="1">
      <c r="A687" s="8"/>
    </row>
    <row r="688" ht="15.75" customHeight="1">
      <c r="A688" s="8"/>
    </row>
    <row r="689" ht="15.75" customHeight="1">
      <c r="A689" s="8"/>
    </row>
    <row r="690" ht="15.75" customHeight="1">
      <c r="A690" s="8"/>
    </row>
    <row r="691" ht="15.75" customHeight="1">
      <c r="A691" s="8"/>
    </row>
    <row r="692" ht="15.75" customHeight="1">
      <c r="A692" s="8"/>
    </row>
    <row r="693" ht="15.75" customHeight="1">
      <c r="A693" s="8"/>
    </row>
    <row r="694" ht="15.75" customHeight="1">
      <c r="A694" s="8"/>
    </row>
    <row r="695" ht="15.75" customHeight="1">
      <c r="A695" s="8"/>
    </row>
    <row r="696" ht="15.75" customHeight="1">
      <c r="A696" s="8"/>
    </row>
    <row r="697" ht="15.75" customHeight="1">
      <c r="A697" s="8"/>
    </row>
    <row r="698" ht="15.75" customHeight="1">
      <c r="A698" s="8"/>
    </row>
    <row r="699" ht="15.75" customHeight="1">
      <c r="A699" s="8"/>
    </row>
    <row r="700" ht="15.75" customHeight="1">
      <c r="A700" s="8"/>
    </row>
    <row r="701" ht="15.75" customHeight="1">
      <c r="A701" s="8"/>
    </row>
    <row r="702" ht="15.75" customHeight="1">
      <c r="A702" s="8"/>
    </row>
    <row r="703" ht="15.75" customHeight="1">
      <c r="A703" s="8"/>
    </row>
    <row r="704" ht="15.75" customHeight="1">
      <c r="A704" s="8"/>
    </row>
    <row r="705" ht="15.75" customHeight="1">
      <c r="A705" s="8"/>
    </row>
    <row r="706" ht="15.75" customHeight="1">
      <c r="A706" s="8"/>
    </row>
    <row r="707" ht="15.75" customHeight="1">
      <c r="A707" s="8"/>
    </row>
    <row r="708" ht="15.75" customHeight="1">
      <c r="A708" s="8"/>
    </row>
    <row r="709" ht="15.75" customHeight="1">
      <c r="A709" s="8"/>
    </row>
    <row r="710" ht="15.75" customHeight="1">
      <c r="A710" s="8"/>
    </row>
    <row r="711" ht="15.75" customHeight="1">
      <c r="A711" s="8"/>
    </row>
    <row r="712" ht="15.75" customHeight="1">
      <c r="A712" s="8"/>
    </row>
    <row r="713" ht="15.75" customHeight="1">
      <c r="A713" s="8"/>
    </row>
    <row r="714" ht="15.75" customHeight="1">
      <c r="A714" s="8"/>
    </row>
    <row r="715" ht="15.75" customHeight="1">
      <c r="A715" s="8"/>
    </row>
    <row r="716" ht="15.75" customHeight="1">
      <c r="A716" s="8"/>
    </row>
    <row r="717" ht="15.75" customHeight="1">
      <c r="A717" s="8"/>
    </row>
    <row r="718" ht="15.75" customHeight="1">
      <c r="A718" s="8"/>
    </row>
    <row r="719" ht="15.75" customHeight="1">
      <c r="A719" s="8"/>
    </row>
    <row r="720" ht="15.75" customHeight="1">
      <c r="A720" s="8"/>
    </row>
    <row r="721" ht="15.75" customHeight="1">
      <c r="A721" s="8"/>
    </row>
    <row r="722" ht="15.75" customHeight="1">
      <c r="A722" s="8"/>
    </row>
    <row r="723" ht="15.75" customHeight="1">
      <c r="A723" s="8"/>
    </row>
    <row r="724" ht="15.75" customHeight="1">
      <c r="A724" s="8"/>
    </row>
    <row r="725" ht="15.75" customHeight="1">
      <c r="A725" s="8"/>
    </row>
    <row r="726" ht="15.75" customHeight="1">
      <c r="A726" s="8"/>
    </row>
    <row r="727" ht="15.75" customHeight="1">
      <c r="A727" s="8"/>
    </row>
    <row r="728" ht="15.75" customHeight="1">
      <c r="A728" s="8"/>
    </row>
    <row r="729" ht="15.75" customHeight="1">
      <c r="A729" s="8"/>
    </row>
    <row r="730" ht="15.75" customHeight="1">
      <c r="A730" s="8"/>
    </row>
    <row r="731" ht="15.75" customHeight="1">
      <c r="A731" s="8"/>
    </row>
    <row r="732" ht="15.75" customHeight="1">
      <c r="A732" s="8"/>
    </row>
    <row r="733" ht="15.75" customHeight="1">
      <c r="A733" s="8"/>
    </row>
    <row r="734" ht="15.75" customHeight="1">
      <c r="A734" s="8"/>
    </row>
    <row r="735" ht="15.75" customHeight="1">
      <c r="A735" s="8"/>
    </row>
    <row r="736" ht="15.75" customHeight="1">
      <c r="A736" s="8"/>
    </row>
    <row r="737" ht="15.75" customHeight="1">
      <c r="A737" s="8"/>
    </row>
    <row r="738" ht="15.75" customHeight="1">
      <c r="A738" s="8"/>
    </row>
    <row r="739" ht="15.75" customHeight="1">
      <c r="A739" s="8"/>
    </row>
    <row r="740" ht="15.75" customHeight="1">
      <c r="A740" s="8"/>
    </row>
    <row r="741" ht="15.75" customHeight="1">
      <c r="A741" s="8"/>
    </row>
    <row r="742" ht="15.75" customHeight="1">
      <c r="A742" s="8"/>
    </row>
    <row r="743" ht="15.75" customHeight="1">
      <c r="A743" s="8"/>
    </row>
    <row r="744" ht="15.75" customHeight="1">
      <c r="A744" s="8"/>
    </row>
    <row r="745" ht="15.75" customHeight="1">
      <c r="A745" s="8"/>
    </row>
    <row r="746" ht="15.75" customHeight="1">
      <c r="A746" s="8"/>
    </row>
    <row r="747" ht="15.75" customHeight="1">
      <c r="A747" s="8"/>
    </row>
    <row r="748" ht="15.75" customHeight="1">
      <c r="A748" s="8"/>
    </row>
    <row r="749" ht="15.75" customHeight="1">
      <c r="A749" s="8"/>
    </row>
    <row r="750" ht="15.75" customHeight="1">
      <c r="A750" s="8"/>
    </row>
    <row r="751" ht="15.75" customHeight="1">
      <c r="A751" s="8"/>
    </row>
    <row r="752" ht="15.75" customHeight="1">
      <c r="A752" s="8"/>
    </row>
    <row r="753" ht="15.75" customHeight="1">
      <c r="A753" s="8"/>
    </row>
    <row r="754" ht="15.75" customHeight="1">
      <c r="A754" s="8"/>
    </row>
    <row r="755" ht="15.75" customHeight="1">
      <c r="A755" s="8"/>
    </row>
    <row r="756" ht="15.75" customHeight="1">
      <c r="A756" s="8"/>
    </row>
    <row r="757" ht="15.75" customHeight="1">
      <c r="A757" s="8"/>
    </row>
    <row r="758" ht="15.75" customHeight="1">
      <c r="A758" s="8"/>
    </row>
    <row r="759" ht="15.75" customHeight="1">
      <c r="A759" s="8"/>
    </row>
    <row r="760" ht="15.75" customHeight="1">
      <c r="A760" s="8"/>
    </row>
    <row r="761" ht="15.75" customHeight="1">
      <c r="A761" s="8"/>
    </row>
    <row r="762" ht="15.75" customHeight="1">
      <c r="A762" s="8"/>
    </row>
    <row r="763" ht="15.75" customHeight="1">
      <c r="A763" s="8"/>
    </row>
    <row r="764" ht="15.75" customHeight="1">
      <c r="A764" s="8"/>
    </row>
    <row r="765" ht="15.75" customHeight="1">
      <c r="A765" s="8"/>
    </row>
    <row r="766" ht="15.75" customHeight="1">
      <c r="A766" s="8"/>
    </row>
    <row r="767" ht="15.75" customHeight="1">
      <c r="A767" s="8"/>
    </row>
    <row r="768" ht="15.75" customHeight="1">
      <c r="A768" s="8"/>
    </row>
    <row r="769" ht="15.75" customHeight="1">
      <c r="A769" s="8"/>
    </row>
    <row r="770" ht="15.75" customHeight="1">
      <c r="A770" s="8"/>
    </row>
    <row r="771" ht="15.75" customHeight="1">
      <c r="A771" s="8"/>
    </row>
    <row r="772" ht="15.75" customHeight="1">
      <c r="A772" s="8"/>
    </row>
    <row r="773" ht="15.75" customHeight="1">
      <c r="A773" s="8"/>
    </row>
    <row r="774" ht="15.75" customHeight="1">
      <c r="A774" s="8"/>
    </row>
    <row r="775" ht="15.75" customHeight="1">
      <c r="A775" s="8"/>
    </row>
    <row r="776" ht="15.75" customHeight="1">
      <c r="A776" s="8"/>
    </row>
    <row r="777" ht="15.75" customHeight="1">
      <c r="A777" s="8"/>
    </row>
    <row r="778" ht="15.75" customHeight="1">
      <c r="A778" s="8"/>
    </row>
    <row r="779" ht="15.75" customHeight="1">
      <c r="A779" s="8"/>
    </row>
    <row r="780" ht="15.75" customHeight="1">
      <c r="A780" s="8"/>
    </row>
    <row r="781" ht="15.75" customHeight="1">
      <c r="A781" s="8"/>
    </row>
    <row r="782" ht="15.75" customHeight="1">
      <c r="A782" s="8"/>
    </row>
    <row r="783" ht="15.75" customHeight="1">
      <c r="A783" s="8"/>
    </row>
    <row r="784" ht="15.75" customHeight="1">
      <c r="A784" s="8"/>
    </row>
    <row r="785" ht="15.75" customHeight="1">
      <c r="A785" s="8"/>
    </row>
    <row r="786" ht="15.75" customHeight="1">
      <c r="A786" s="8"/>
    </row>
    <row r="787" ht="15.75" customHeight="1">
      <c r="A787" s="8"/>
    </row>
    <row r="788" ht="15.75" customHeight="1">
      <c r="A788" s="8"/>
    </row>
    <row r="789" ht="15.75" customHeight="1">
      <c r="A789" s="8"/>
    </row>
    <row r="790" ht="15.75" customHeight="1">
      <c r="A790" s="8"/>
    </row>
    <row r="791" ht="15.75" customHeight="1">
      <c r="A791" s="8"/>
    </row>
    <row r="792" ht="15.75" customHeight="1">
      <c r="A792" s="8"/>
    </row>
    <row r="793" ht="15.75" customHeight="1">
      <c r="A793" s="8"/>
    </row>
    <row r="794" ht="15.75" customHeight="1">
      <c r="A794" s="8"/>
    </row>
    <row r="795" ht="15.75" customHeight="1">
      <c r="A795" s="8"/>
    </row>
    <row r="796" ht="15.75" customHeight="1">
      <c r="A796" s="8"/>
    </row>
    <row r="797" ht="15.75" customHeight="1">
      <c r="A797" s="8"/>
    </row>
    <row r="798" ht="15.75" customHeight="1">
      <c r="A798" s="8"/>
    </row>
    <row r="799" ht="15.75" customHeight="1">
      <c r="A799" s="8"/>
    </row>
    <row r="800" ht="15.75" customHeight="1">
      <c r="A800" s="8"/>
    </row>
    <row r="801" ht="15.75" customHeight="1">
      <c r="A801" s="8"/>
    </row>
    <row r="802" ht="15.75" customHeight="1">
      <c r="A802" s="8"/>
    </row>
    <row r="803" ht="15.75" customHeight="1">
      <c r="A803" s="8"/>
    </row>
    <row r="804" ht="15.75" customHeight="1">
      <c r="A804" s="8"/>
    </row>
    <row r="805" ht="15.75" customHeight="1">
      <c r="A805" s="8"/>
    </row>
    <row r="806" ht="15.75" customHeight="1">
      <c r="A806" s="8"/>
    </row>
    <row r="807" ht="15.75" customHeight="1">
      <c r="A807" s="8"/>
    </row>
    <row r="808" ht="15.75" customHeight="1">
      <c r="A808" s="8"/>
    </row>
    <row r="809" ht="15.75" customHeight="1">
      <c r="A809" s="8"/>
    </row>
    <row r="810" ht="15.75" customHeight="1">
      <c r="A810" s="8"/>
    </row>
    <row r="811" ht="15.75" customHeight="1">
      <c r="A811" s="8"/>
    </row>
    <row r="812" ht="15.75" customHeight="1">
      <c r="A812" s="8"/>
    </row>
    <row r="813" ht="15.75" customHeight="1">
      <c r="A813" s="8"/>
    </row>
    <row r="814" ht="15.75" customHeight="1">
      <c r="A814" s="8"/>
    </row>
    <row r="815" ht="15.75" customHeight="1">
      <c r="A815" s="8"/>
    </row>
    <row r="816" ht="15.75" customHeight="1">
      <c r="A816" s="8"/>
    </row>
    <row r="817" ht="15.75" customHeight="1">
      <c r="A817" s="8"/>
    </row>
    <row r="818" ht="15.75" customHeight="1">
      <c r="A818" s="8"/>
    </row>
    <row r="819" ht="15.75" customHeight="1">
      <c r="A819" s="8"/>
    </row>
    <row r="820" ht="15.75" customHeight="1">
      <c r="A820" s="8"/>
    </row>
    <row r="821" ht="15.75" customHeight="1">
      <c r="A821" s="8"/>
    </row>
    <row r="822" ht="15.75" customHeight="1">
      <c r="A822" s="8"/>
    </row>
    <row r="823" ht="15.75" customHeight="1">
      <c r="A823" s="8"/>
    </row>
    <row r="824" ht="15.75" customHeight="1">
      <c r="A824" s="8"/>
    </row>
    <row r="825" ht="15.75" customHeight="1">
      <c r="A825" s="8"/>
    </row>
    <row r="826" ht="15.75" customHeight="1">
      <c r="A826" s="8"/>
    </row>
    <row r="827" ht="15.75" customHeight="1">
      <c r="A827" s="8"/>
    </row>
    <row r="828" ht="15.75" customHeight="1">
      <c r="A828" s="8"/>
    </row>
    <row r="829" ht="15.75" customHeight="1">
      <c r="A829" s="8"/>
    </row>
    <row r="830" ht="15.75" customHeight="1">
      <c r="A830" s="8"/>
    </row>
    <row r="831" ht="15.75" customHeight="1">
      <c r="A831" s="8"/>
    </row>
    <row r="832" ht="15.75" customHeight="1">
      <c r="A832" s="8"/>
    </row>
    <row r="833" ht="15.75" customHeight="1">
      <c r="A833" s="8"/>
    </row>
    <row r="834" ht="15.75" customHeight="1">
      <c r="A834" s="8"/>
    </row>
    <row r="835" ht="15.75" customHeight="1">
      <c r="A835" s="8"/>
    </row>
    <row r="836" ht="15.75" customHeight="1">
      <c r="A836" s="8"/>
    </row>
    <row r="837" ht="15.75" customHeight="1">
      <c r="A837" s="8"/>
    </row>
    <row r="838" ht="15.75" customHeight="1">
      <c r="A838" s="8"/>
    </row>
    <row r="839" ht="15.75" customHeight="1">
      <c r="A839" s="8"/>
    </row>
    <row r="840" ht="15.75" customHeight="1">
      <c r="A840" s="8"/>
    </row>
    <row r="841" ht="15.75" customHeight="1">
      <c r="A841" s="8"/>
    </row>
    <row r="842" ht="15.75" customHeight="1">
      <c r="A842" s="8"/>
    </row>
    <row r="843" ht="15.75" customHeight="1">
      <c r="A843" s="8"/>
    </row>
    <row r="844" ht="15.75" customHeight="1">
      <c r="A844" s="8"/>
    </row>
    <row r="845" ht="15.75" customHeight="1">
      <c r="A845" s="8"/>
    </row>
    <row r="846" ht="15.75" customHeight="1">
      <c r="A846" s="8"/>
    </row>
    <row r="847" ht="15.75" customHeight="1">
      <c r="A847" s="8"/>
    </row>
    <row r="848" ht="15.75" customHeight="1">
      <c r="A848" s="8"/>
    </row>
    <row r="849" ht="15.75" customHeight="1">
      <c r="A849" s="8"/>
    </row>
    <row r="850" ht="15.75" customHeight="1">
      <c r="A850" s="8"/>
    </row>
    <row r="851" ht="15.75" customHeight="1">
      <c r="A851" s="8"/>
    </row>
    <row r="852" ht="15.75" customHeight="1">
      <c r="A852" s="8"/>
    </row>
    <row r="853" ht="15.75" customHeight="1">
      <c r="A853" s="8"/>
    </row>
    <row r="854" ht="15.75" customHeight="1">
      <c r="A854" s="8"/>
    </row>
    <row r="855" ht="15.75" customHeight="1">
      <c r="A855" s="8"/>
    </row>
    <row r="856" ht="15.75" customHeight="1">
      <c r="A856" s="8"/>
    </row>
    <row r="857" ht="15.75" customHeight="1">
      <c r="A857" s="8"/>
    </row>
    <row r="858" ht="15.75" customHeight="1">
      <c r="A858" s="8"/>
    </row>
    <row r="859" ht="15.75" customHeight="1">
      <c r="A859" s="8"/>
    </row>
    <row r="860" ht="15.75" customHeight="1">
      <c r="A860" s="8"/>
    </row>
    <row r="861" ht="15.75" customHeight="1">
      <c r="A861" s="8"/>
    </row>
    <row r="862" ht="15.75" customHeight="1">
      <c r="A862" s="8"/>
    </row>
    <row r="863" ht="15.75" customHeight="1">
      <c r="A863" s="8"/>
    </row>
    <row r="864" ht="15.75" customHeight="1">
      <c r="A864" s="8"/>
    </row>
    <row r="865" ht="15.75" customHeight="1">
      <c r="A865" s="8"/>
    </row>
    <row r="866" ht="15.75" customHeight="1">
      <c r="A866" s="8"/>
    </row>
    <row r="867" ht="15.75" customHeight="1">
      <c r="A867" s="8"/>
    </row>
    <row r="868" ht="15.75" customHeight="1">
      <c r="A868" s="8"/>
    </row>
    <row r="869" ht="15.75" customHeight="1">
      <c r="A869" s="8"/>
    </row>
    <row r="870" ht="15.75" customHeight="1">
      <c r="A870" s="8"/>
    </row>
    <row r="871" ht="15.75" customHeight="1">
      <c r="A871" s="8"/>
    </row>
    <row r="872" ht="15.75" customHeight="1">
      <c r="A872" s="8"/>
    </row>
    <row r="873" ht="15.75" customHeight="1">
      <c r="A873" s="8"/>
    </row>
    <row r="874" ht="15.75" customHeight="1">
      <c r="A874" s="8"/>
    </row>
    <row r="875" ht="15.75" customHeight="1">
      <c r="A875" s="8"/>
    </row>
    <row r="876" ht="15.75" customHeight="1">
      <c r="A876" s="8"/>
    </row>
    <row r="877" ht="15.75" customHeight="1">
      <c r="A877" s="8"/>
    </row>
    <row r="878" ht="15.75" customHeight="1">
      <c r="A878" s="8"/>
    </row>
    <row r="879" ht="15.75" customHeight="1">
      <c r="A879" s="8"/>
    </row>
    <row r="880" ht="15.75" customHeight="1">
      <c r="A880" s="8"/>
    </row>
    <row r="881" ht="15.75" customHeight="1">
      <c r="A881" s="8"/>
    </row>
    <row r="882" ht="15.75" customHeight="1">
      <c r="A882" s="8"/>
    </row>
    <row r="883" ht="15.75" customHeight="1">
      <c r="A883" s="8"/>
    </row>
    <row r="884" ht="15.75" customHeight="1">
      <c r="A884" s="8"/>
    </row>
    <row r="885" ht="15.75" customHeight="1">
      <c r="A885" s="8"/>
    </row>
    <row r="886" ht="15.75" customHeight="1">
      <c r="A886" s="8"/>
    </row>
    <row r="887" ht="15.75" customHeight="1">
      <c r="A887" s="8"/>
    </row>
    <row r="888" ht="15.75" customHeight="1">
      <c r="A888" s="8"/>
    </row>
    <row r="889" ht="15.75" customHeight="1">
      <c r="A889" s="8"/>
    </row>
    <row r="890" ht="15.75" customHeight="1">
      <c r="A890" s="8"/>
    </row>
    <row r="891" ht="15.75" customHeight="1">
      <c r="A891" s="8"/>
    </row>
    <row r="892" ht="15.75" customHeight="1">
      <c r="A892" s="8"/>
    </row>
    <row r="893" ht="15.75" customHeight="1">
      <c r="A893" s="8"/>
    </row>
    <row r="894" ht="15.75" customHeight="1">
      <c r="A894" s="8"/>
    </row>
    <row r="895" ht="15.75" customHeight="1">
      <c r="A895" s="8"/>
    </row>
    <row r="896" ht="15.75" customHeight="1">
      <c r="A896" s="8"/>
    </row>
    <row r="897" ht="15.75" customHeight="1">
      <c r="A897" s="8"/>
    </row>
    <row r="898" ht="15.75" customHeight="1">
      <c r="A898" s="8"/>
    </row>
    <row r="899" ht="15.75" customHeight="1">
      <c r="A899" s="8"/>
    </row>
    <row r="900" ht="15.75" customHeight="1">
      <c r="A900" s="8"/>
    </row>
    <row r="901" ht="15.75" customHeight="1">
      <c r="A901" s="8"/>
    </row>
    <row r="902" ht="15.75" customHeight="1">
      <c r="A902" s="8"/>
    </row>
    <row r="903" ht="15.75" customHeight="1">
      <c r="A903" s="8"/>
    </row>
    <row r="904" ht="15.75" customHeight="1">
      <c r="A904" s="8"/>
    </row>
    <row r="905" ht="15.75" customHeight="1">
      <c r="A905" s="8"/>
    </row>
    <row r="906" ht="15.75" customHeight="1">
      <c r="A906" s="8"/>
    </row>
    <row r="907" ht="15.75" customHeight="1">
      <c r="A907" s="8"/>
    </row>
    <row r="908" ht="15.75" customHeight="1">
      <c r="A908" s="8"/>
    </row>
    <row r="909" ht="15.75" customHeight="1">
      <c r="A909" s="8"/>
    </row>
    <row r="910" ht="15.75" customHeight="1">
      <c r="A910" s="8"/>
    </row>
    <row r="911" ht="15.75" customHeight="1">
      <c r="A911" s="8"/>
    </row>
    <row r="912" ht="15.75" customHeight="1">
      <c r="A912" s="8"/>
    </row>
    <row r="913" ht="15.75" customHeight="1">
      <c r="A913" s="8"/>
    </row>
    <row r="914" ht="15.75" customHeight="1">
      <c r="A914" s="8"/>
    </row>
    <row r="915" ht="15.75" customHeight="1">
      <c r="A915" s="8"/>
    </row>
    <row r="916" ht="15.75" customHeight="1">
      <c r="A916" s="8"/>
    </row>
    <row r="917" ht="15.75" customHeight="1">
      <c r="A917" s="8"/>
    </row>
    <row r="918" ht="15.75" customHeight="1">
      <c r="A918" s="8"/>
    </row>
    <row r="919" ht="15.75" customHeight="1">
      <c r="A919" s="8"/>
    </row>
    <row r="920" ht="15.75" customHeight="1">
      <c r="A920" s="8"/>
    </row>
    <row r="921" ht="15.75" customHeight="1">
      <c r="A921" s="8"/>
    </row>
    <row r="922" ht="15.75" customHeight="1">
      <c r="A922" s="8"/>
    </row>
    <row r="923" ht="15.75" customHeight="1">
      <c r="A923" s="8"/>
    </row>
    <row r="924" ht="15.75" customHeight="1">
      <c r="A924" s="8"/>
    </row>
    <row r="925" ht="15.75" customHeight="1">
      <c r="A925" s="8"/>
    </row>
    <row r="926" ht="15.75" customHeight="1">
      <c r="A926" s="8"/>
    </row>
    <row r="927" ht="15.75" customHeight="1">
      <c r="A927" s="8"/>
    </row>
    <row r="928" ht="15.75" customHeight="1">
      <c r="A928" s="8"/>
    </row>
    <row r="929" ht="15.75" customHeight="1">
      <c r="A929" s="8"/>
    </row>
    <row r="930" ht="15.75" customHeight="1">
      <c r="A930" s="8"/>
    </row>
    <row r="931" ht="15.75" customHeight="1">
      <c r="A931" s="8"/>
    </row>
    <row r="932" ht="15.75" customHeight="1">
      <c r="A932" s="8"/>
    </row>
    <row r="933" ht="15.75" customHeight="1">
      <c r="A933" s="8"/>
    </row>
    <row r="934" ht="15.75" customHeight="1">
      <c r="A934" s="8"/>
    </row>
    <row r="935" ht="15.75" customHeight="1">
      <c r="A935" s="8"/>
    </row>
    <row r="936" ht="15.75" customHeight="1">
      <c r="A936" s="8"/>
    </row>
    <row r="937" ht="15.75" customHeight="1">
      <c r="A937" s="8"/>
    </row>
    <row r="938" ht="15.75" customHeight="1">
      <c r="A938" s="8"/>
    </row>
    <row r="939" ht="15.75" customHeight="1">
      <c r="A939" s="8"/>
    </row>
    <row r="940" ht="15.75" customHeight="1">
      <c r="A940" s="8"/>
    </row>
    <row r="941" ht="15.75" customHeight="1">
      <c r="A941" s="8"/>
    </row>
    <row r="942" ht="15.75" customHeight="1">
      <c r="A942" s="8"/>
    </row>
    <row r="943" ht="15.75" customHeight="1">
      <c r="A943" s="8"/>
    </row>
    <row r="944" ht="15.75" customHeight="1">
      <c r="A944" s="8"/>
    </row>
    <row r="945" ht="15.75" customHeight="1">
      <c r="A945" s="8"/>
    </row>
    <row r="946" ht="15.75" customHeight="1">
      <c r="A946" s="8"/>
    </row>
    <row r="947" ht="15.75" customHeight="1">
      <c r="A947" s="8"/>
    </row>
    <row r="948" ht="15.75" customHeight="1">
      <c r="A948" s="8"/>
    </row>
    <row r="949" ht="15.75" customHeight="1">
      <c r="A949" s="8"/>
    </row>
    <row r="950" ht="15.75" customHeight="1">
      <c r="A950" s="8"/>
    </row>
    <row r="951" ht="15.75" customHeight="1">
      <c r="A951" s="8"/>
    </row>
    <row r="952" ht="15.75" customHeight="1">
      <c r="A952" s="8"/>
    </row>
    <row r="953" ht="15.75" customHeight="1">
      <c r="A953" s="8"/>
    </row>
    <row r="954" ht="15.75" customHeight="1">
      <c r="A954" s="8"/>
    </row>
    <row r="955" ht="15.75" customHeight="1">
      <c r="A955" s="8"/>
    </row>
    <row r="956" ht="15.75" customHeight="1">
      <c r="A956" s="8"/>
    </row>
    <row r="957" ht="15.75" customHeight="1">
      <c r="A957" s="8"/>
    </row>
    <row r="958" ht="15.75" customHeight="1">
      <c r="A958" s="8"/>
    </row>
    <row r="959" ht="15.75" customHeight="1">
      <c r="A959" s="8"/>
    </row>
    <row r="960" ht="15.75" customHeight="1">
      <c r="A960" s="8"/>
    </row>
    <row r="961" ht="15.75" customHeight="1">
      <c r="A961" s="8"/>
    </row>
    <row r="962" ht="15.75" customHeight="1">
      <c r="A962" s="8"/>
    </row>
    <row r="963" ht="15.75" customHeight="1">
      <c r="A963" s="8"/>
    </row>
    <row r="964" ht="15.75" customHeight="1">
      <c r="A964" s="8"/>
    </row>
    <row r="965" ht="15.75" customHeight="1">
      <c r="A965" s="8"/>
    </row>
    <row r="966" ht="15.75" customHeight="1">
      <c r="A966" s="8"/>
    </row>
    <row r="967" ht="15.75" customHeight="1">
      <c r="A967" s="8"/>
    </row>
    <row r="968" ht="15.75" customHeight="1">
      <c r="A968" s="8"/>
    </row>
    <row r="969" ht="15.75" customHeight="1">
      <c r="A969" s="8"/>
    </row>
    <row r="970" ht="15.75" customHeight="1">
      <c r="A970" s="8"/>
    </row>
    <row r="971" ht="15.75" customHeight="1">
      <c r="A971" s="8"/>
    </row>
    <row r="972" ht="15.75" customHeight="1">
      <c r="A972" s="8"/>
    </row>
    <row r="973" ht="15.75" customHeight="1">
      <c r="A973" s="8"/>
    </row>
    <row r="974" ht="15.75" customHeight="1">
      <c r="A974" s="8"/>
    </row>
    <row r="975" ht="15.75" customHeight="1">
      <c r="A975" s="8"/>
    </row>
    <row r="976" ht="15.75" customHeight="1">
      <c r="A976" s="8"/>
    </row>
    <row r="977" ht="15.75" customHeight="1">
      <c r="A977" s="8"/>
    </row>
    <row r="978" ht="15.75" customHeight="1">
      <c r="A978" s="8"/>
    </row>
    <row r="979" ht="15.75" customHeight="1">
      <c r="A979" s="8"/>
    </row>
    <row r="980" ht="15.75" customHeight="1">
      <c r="A980" s="8"/>
    </row>
    <row r="981" ht="15.75" customHeight="1">
      <c r="A981" s="8"/>
    </row>
    <row r="982" ht="15.75" customHeight="1">
      <c r="A982" s="8"/>
    </row>
    <row r="983" ht="15.75" customHeight="1">
      <c r="A983" s="8"/>
    </row>
    <row r="984" ht="15.75" customHeight="1">
      <c r="A984" s="8"/>
    </row>
    <row r="985" ht="15.75" customHeight="1">
      <c r="A985" s="8"/>
    </row>
    <row r="986" ht="15.75" customHeight="1">
      <c r="A986" s="8"/>
    </row>
    <row r="987" ht="15.75" customHeight="1">
      <c r="A987" s="8"/>
    </row>
    <row r="988" ht="15.75" customHeight="1">
      <c r="A988" s="8"/>
    </row>
    <row r="989" ht="15.75" customHeight="1">
      <c r="A989" s="8"/>
    </row>
    <row r="990" ht="15.75" customHeight="1">
      <c r="A990" s="8"/>
    </row>
    <row r="991" ht="15.75" customHeight="1">
      <c r="A991" s="8"/>
    </row>
    <row r="992" ht="15.75" customHeight="1">
      <c r="A992" s="8"/>
    </row>
    <row r="993" ht="15.75" customHeight="1">
      <c r="A993" s="8"/>
    </row>
    <row r="994" ht="15.75" customHeight="1">
      <c r="A994" s="8"/>
    </row>
    <row r="995" ht="15.75" customHeight="1">
      <c r="A995" s="8"/>
    </row>
    <row r="996" ht="15.75" customHeight="1">
      <c r="A996" s="8"/>
    </row>
    <row r="997" ht="15.75" customHeight="1">
      <c r="A997" s="8"/>
    </row>
    <row r="998" ht="15.75" customHeight="1">
      <c r="A998" s="8"/>
    </row>
    <row r="999" ht="15.75" customHeight="1">
      <c r="A999" s="8"/>
    </row>
    <row r="1000" ht="15.75" customHeight="1">
      <c r="A1000" s="8"/>
    </row>
    <row r="1001" ht="15.75" customHeight="1">
      <c r="A1001" s="8"/>
    </row>
    <row r="1002" ht="15.75" customHeight="1">
      <c r="A1002" s="8"/>
    </row>
  </sheetData>
  <dataValidations>
    <dataValidation type="list" allowBlank="1" showErrorMessage="1" sqref="A2:A1002">
      <formula1>dict!$A$2:$A$1007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13"/>
    <col customWidth="1" min="2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5.75" customHeight="1">
      <c r="A2" s="2" t="s">
        <v>29</v>
      </c>
      <c r="B2" s="3">
        <v>250.0</v>
      </c>
      <c r="C2" s="4">
        <f>VLOOKUP($A2, dict!$A:$F, 3, false) * $B2 / VLOOKUP($A2, dict!$A:$F, 2, false)</f>
        <v>8.75</v>
      </c>
      <c r="D2" s="4">
        <f>VLOOKUP($A2, dict!$A:$F, 4, false) * $B2 / VLOOKUP($A2, dict!$A:$F, 2, false)</f>
        <v>38.5</v>
      </c>
      <c r="E2" s="4">
        <f>VLOOKUP($A2, dict!$A:$F, 5, false) * $B2 / VLOOKUP($A2, dict!$A:$F, 2, false)</f>
        <v>7.5</v>
      </c>
      <c r="F2" s="4">
        <f>VLOOKUP($A2, dict!$A:$F, 6, false) * $B2 / VLOOKUP($A2, dict!$A:$F, 2, false)</f>
        <v>257.5</v>
      </c>
      <c r="G2" s="4">
        <f t="shared" ref="G2:J2" si="1">SUM(C:C)</f>
        <v>70.85</v>
      </c>
      <c r="H2" s="4">
        <f t="shared" si="1"/>
        <v>55.32</v>
      </c>
      <c r="I2" s="4">
        <f t="shared" si="1"/>
        <v>19.4</v>
      </c>
      <c r="J2" s="4">
        <f t="shared" si="1"/>
        <v>683.2</v>
      </c>
      <c r="K2" s="4">
        <f>G2*4 + H2*4 + I2*9</f>
        <v>679.28</v>
      </c>
    </row>
    <row r="3" ht="15.75" customHeight="1">
      <c r="A3" s="2" t="s">
        <v>30</v>
      </c>
      <c r="B3" s="3">
        <v>80.0</v>
      </c>
      <c r="C3" s="4">
        <f>VLOOKUP($A3, dict!$A:$F, 3, false) * $B3 / VLOOKUP($A3, dict!$A:$F, 2, false)</f>
        <v>57.6</v>
      </c>
      <c r="D3" s="4">
        <f>VLOOKUP($A3, dict!$A:$F, 4, false) * $B3 / VLOOKUP($A3, dict!$A:$F, 2, false)</f>
        <v>8.32</v>
      </c>
      <c r="E3" s="4">
        <f>VLOOKUP($A3, dict!$A:$F, 5, false) * $B3 / VLOOKUP($A3, dict!$A:$F, 2, false)</f>
        <v>0.8</v>
      </c>
      <c r="F3" s="4">
        <f>VLOOKUP($A3, dict!$A:$F, 6, false) * $B3 / VLOOKUP($A3, dict!$A:$F, 2, false)</f>
        <v>271.2</v>
      </c>
    </row>
    <row r="4" ht="15.75" customHeight="1">
      <c r="A4" s="2" t="s">
        <v>15</v>
      </c>
      <c r="B4" s="3">
        <v>1.0</v>
      </c>
      <c r="C4" s="4">
        <f>VLOOKUP($A4, dict!$A:$F, 3, false) * $B4 / VLOOKUP($A4, dict!$A:$F, 2, false)</f>
        <v>0.5</v>
      </c>
      <c r="D4" s="4">
        <f>VLOOKUP($A4, dict!$A:$F, 4, false) * $B4 / VLOOKUP($A4, dict!$A:$F, 2, false)</f>
        <v>8.5</v>
      </c>
      <c r="E4" s="4">
        <f>VLOOKUP($A4, dict!$A:$F, 5, false) * $B4 / VLOOKUP($A4, dict!$A:$F, 2, false)</f>
        <v>6.5</v>
      </c>
      <c r="F4" s="4">
        <f>VLOOKUP($A4, dict!$A:$F, 6, false) * $B4 / VLOOKUP($A4, dict!$A:$F, 2, false)</f>
        <v>97</v>
      </c>
    </row>
    <row r="5" ht="15.75" customHeight="1">
      <c r="A5" s="2" t="s">
        <v>16</v>
      </c>
      <c r="B5" s="3">
        <v>5.0</v>
      </c>
      <c r="C5" s="4">
        <f>VLOOKUP($A5, dict!$A:$F, 3, false) * $B5 / VLOOKUP($A5, dict!$A:$F, 2, false)</f>
        <v>0</v>
      </c>
      <c r="D5" s="4">
        <f>VLOOKUP($A5, dict!$A:$F, 4, false) * $B5 / VLOOKUP($A5, dict!$A:$F, 2, false)</f>
        <v>0</v>
      </c>
      <c r="E5" s="4">
        <f>VLOOKUP($A5, dict!$A:$F, 5, false) * $B5 / VLOOKUP($A5, dict!$A:$F, 2, false)</f>
        <v>4.6</v>
      </c>
      <c r="F5" s="4">
        <f>VLOOKUP($A5, dict!$A:$F, 6, false) * $B5 / VLOOKUP($A5, dict!$A:$F, 2, false)</f>
        <v>41.5</v>
      </c>
    </row>
    <row r="6" ht="15.75" customHeight="1">
      <c r="A6" s="2" t="s">
        <v>23</v>
      </c>
      <c r="B6" s="3">
        <v>5.0</v>
      </c>
      <c r="C6" s="4">
        <f>VLOOKUP($A6, dict!$A:$F, 3, false) * $B6 / VLOOKUP($A6, dict!$A:$F, 2, false)</f>
        <v>4</v>
      </c>
      <c r="D6" s="4">
        <f>VLOOKUP($A6, dict!$A:$F, 4, false) * $B6 / VLOOKUP($A6, dict!$A:$F, 2, false)</f>
        <v>0</v>
      </c>
      <c r="E6" s="4">
        <f>VLOOKUP($A6, dict!$A:$F, 5, false) * $B6 / VLOOKUP($A6, dict!$A:$F, 2, false)</f>
        <v>0</v>
      </c>
      <c r="F6" s="4">
        <f>VLOOKUP($A6, dict!$A:$F, 6, false) * $B6 / VLOOKUP($A6, dict!$A:$F, 2, false)</f>
        <v>16</v>
      </c>
    </row>
    <row r="7" ht="15.75" customHeight="1">
      <c r="A7" s="4" t="s">
        <v>31</v>
      </c>
    </row>
    <row r="8" ht="15.75" customHeight="1">
      <c r="A8" s="4"/>
    </row>
    <row r="9" ht="15.75" customHeight="1">
      <c r="A9" s="4"/>
    </row>
    <row r="10" ht="15.75" customHeight="1">
      <c r="A10" s="4"/>
    </row>
    <row r="11" ht="15.75" customHeight="1">
      <c r="A11" s="4"/>
    </row>
    <row r="12" ht="15.75" customHeight="1">
      <c r="A12" s="4"/>
    </row>
    <row r="13" ht="15.75" customHeight="1">
      <c r="A13" s="4"/>
    </row>
    <row r="14" ht="15.75" customHeight="1">
      <c r="A14" s="4"/>
    </row>
    <row r="15" ht="15.75" customHeight="1">
      <c r="A15" s="4"/>
    </row>
    <row r="16" ht="15.75" customHeight="1">
      <c r="A16" s="4"/>
    </row>
    <row r="17" ht="15.75" customHeight="1">
      <c r="A17" s="4"/>
    </row>
    <row r="18" ht="15.75" customHeight="1">
      <c r="A18" s="4"/>
    </row>
    <row r="19" ht="15.75" customHeight="1">
      <c r="A19" s="4"/>
    </row>
    <row r="20" ht="15.75" customHeight="1">
      <c r="A20" s="4"/>
    </row>
    <row r="21" ht="15.75" customHeight="1">
      <c r="A21" s="4"/>
    </row>
    <row r="22" ht="15.75" customHeight="1">
      <c r="A22" s="4"/>
    </row>
    <row r="23" ht="15.75" customHeight="1">
      <c r="A23" s="4"/>
    </row>
    <row r="24" ht="15.75" customHeight="1">
      <c r="A24" s="4"/>
    </row>
    <row r="25" ht="15.75" customHeight="1">
      <c r="A25" s="4"/>
    </row>
    <row r="26" ht="15.75" customHeight="1">
      <c r="A26" s="4"/>
    </row>
    <row r="27" ht="15.75" customHeight="1">
      <c r="A27" s="4"/>
    </row>
    <row r="28" ht="15.75" customHeight="1">
      <c r="A28" s="4"/>
    </row>
    <row r="29" ht="15.75" customHeight="1">
      <c r="A29" s="4"/>
    </row>
    <row r="30" ht="15.75" customHeight="1">
      <c r="A30" s="4"/>
    </row>
    <row r="31" ht="15.75" customHeight="1">
      <c r="A31" s="4"/>
    </row>
    <row r="32" ht="15.75" customHeight="1">
      <c r="A32" s="4"/>
    </row>
    <row r="33" ht="15.75" customHeight="1">
      <c r="A33" s="4"/>
    </row>
    <row r="34" ht="15.75" customHeight="1">
      <c r="A34" s="4"/>
    </row>
    <row r="35" ht="15.75" customHeight="1">
      <c r="A35" s="4"/>
    </row>
    <row r="36" ht="15.75" customHeight="1">
      <c r="A36" s="4"/>
    </row>
    <row r="37" ht="15.75" customHeight="1">
      <c r="A37" s="4"/>
    </row>
    <row r="38" ht="15.75" customHeight="1">
      <c r="A38" s="4"/>
    </row>
    <row r="39" ht="15.75" customHeight="1">
      <c r="A39" s="4"/>
    </row>
    <row r="40" ht="15.75" customHeight="1">
      <c r="A40" s="4"/>
    </row>
    <row r="41" ht="15.75" customHeight="1">
      <c r="A41" s="4"/>
    </row>
    <row r="42" ht="15.75" customHeight="1">
      <c r="A42" s="4"/>
    </row>
    <row r="43" ht="15.75" customHeight="1">
      <c r="A43" s="4"/>
    </row>
    <row r="44" ht="15.75" customHeight="1">
      <c r="A44" s="4"/>
    </row>
    <row r="45" ht="15.75" customHeight="1">
      <c r="A45" s="4"/>
    </row>
    <row r="46" ht="15.75" customHeight="1">
      <c r="A46" s="4"/>
    </row>
    <row r="47" ht="15.75" customHeight="1">
      <c r="A47" s="4"/>
    </row>
    <row r="48" ht="15.75" customHeight="1">
      <c r="A48" s="4"/>
    </row>
    <row r="49" ht="15.75" customHeight="1">
      <c r="A49" s="4"/>
    </row>
    <row r="50" ht="15.75" customHeight="1">
      <c r="A50" s="4"/>
    </row>
    <row r="51" ht="15.75" customHeight="1">
      <c r="A51" s="4"/>
    </row>
    <row r="52" ht="15.75" customHeight="1">
      <c r="A52" s="4"/>
    </row>
    <row r="53" ht="15.75" customHeight="1">
      <c r="A53" s="4"/>
    </row>
    <row r="54" ht="15.75" customHeight="1">
      <c r="A54" s="4"/>
    </row>
    <row r="55" ht="15.75" customHeight="1">
      <c r="A55" s="4"/>
    </row>
    <row r="56" ht="15.75" customHeight="1">
      <c r="A56" s="4"/>
    </row>
    <row r="57" ht="15.75" customHeight="1">
      <c r="A57" s="4"/>
    </row>
    <row r="58" ht="15.75" customHeight="1">
      <c r="A58" s="4"/>
    </row>
    <row r="59" ht="15.75" customHeight="1">
      <c r="A59" s="4"/>
    </row>
    <row r="60" ht="15.75" customHeight="1">
      <c r="A60" s="4"/>
    </row>
    <row r="61" ht="15.75" customHeight="1">
      <c r="A61" s="4"/>
    </row>
    <row r="62" ht="15.75" customHeight="1">
      <c r="A62" s="4"/>
    </row>
    <row r="63" ht="15.75" customHeight="1">
      <c r="A63" s="4"/>
    </row>
    <row r="64" ht="15.75" customHeight="1">
      <c r="A64" s="4"/>
    </row>
    <row r="65" ht="15.75" customHeight="1">
      <c r="A65" s="4"/>
    </row>
    <row r="66" ht="15.75" customHeight="1">
      <c r="A66" s="4"/>
    </row>
    <row r="67" ht="15.75" customHeight="1">
      <c r="A67" s="4"/>
    </row>
    <row r="68" ht="15.75" customHeight="1">
      <c r="A68" s="4"/>
    </row>
    <row r="69" ht="15.75" customHeight="1">
      <c r="A69" s="4"/>
    </row>
    <row r="70" ht="15.75" customHeight="1">
      <c r="A70" s="4"/>
    </row>
    <row r="71" ht="15.75" customHeight="1">
      <c r="A71" s="4"/>
    </row>
    <row r="72" ht="15.75" customHeight="1">
      <c r="A72" s="4"/>
    </row>
    <row r="73" ht="15.75" customHeight="1">
      <c r="A73" s="4"/>
    </row>
    <row r="74" ht="15.75" customHeight="1">
      <c r="A74" s="4"/>
    </row>
    <row r="75" ht="15.75" customHeight="1">
      <c r="A75" s="4"/>
    </row>
    <row r="76" ht="15.75" customHeight="1">
      <c r="A76" s="4"/>
    </row>
    <row r="77" ht="15.75" customHeight="1">
      <c r="A77" s="4"/>
    </row>
    <row r="78" ht="15.75" customHeight="1">
      <c r="A78" s="4"/>
    </row>
    <row r="79" ht="15.75" customHeight="1">
      <c r="A79" s="4"/>
    </row>
    <row r="80" ht="15.75" customHeight="1">
      <c r="A80" s="4"/>
    </row>
    <row r="81" ht="15.75" customHeight="1">
      <c r="A81" s="4"/>
    </row>
    <row r="82" ht="15.75" customHeight="1">
      <c r="A82" s="4"/>
    </row>
    <row r="83" ht="15.75" customHeight="1">
      <c r="A83" s="4"/>
    </row>
    <row r="84" ht="15.75" customHeight="1">
      <c r="A84" s="4"/>
    </row>
    <row r="85" ht="15.75" customHeight="1">
      <c r="A85" s="4"/>
    </row>
    <row r="86" ht="15.75" customHeight="1">
      <c r="A86" s="4"/>
    </row>
    <row r="87" ht="15.75" customHeight="1">
      <c r="A87" s="4"/>
    </row>
    <row r="88" ht="15.75" customHeight="1">
      <c r="A88" s="4"/>
    </row>
    <row r="89" ht="15.75" customHeight="1">
      <c r="A89" s="4"/>
    </row>
    <row r="90" ht="15.75" customHeight="1">
      <c r="A90" s="4"/>
    </row>
    <row r="91" ht="15.75" customHeight="1">
      <c r="A91" s="4"/>
    </row>
    <row r="92" ht="15.75" customHeight="1">
      <c r="A92" s="4"/>
    </row>
    <row r="93" ht="15.75" customHeight="1">
      <c r="A93" s="4"/>
    </row>
    <row r="94" ht="15.75" customHeight="1">
      <c r="A94" s="4"/>
    </row>
    <row r="95" ht="15.75" customHeight="1">
      <c r="A95" s="4"/>
    </row>
    <row r="96" ht="15.75" customHeight="1">
      <c r="A96" s="4"/>
    </row>
    <row r="97" ht="15.75" customHeight="1">
      <c r="A97" s="4"/>
    </row>
    <row r="98" ht="15.75" customHeight="1">
      <c r="A98" s="4"/>
    </row>
    <row r="99" ht="15.75" customHeight="1">
      <c r="A99" s="4"/>
    </row>
    <row r="100" ht="15.75" customHeight="1">
      <c r="A100" s="4"/>
    </row>
    <row r="101" ht="15.75" customHeight="1">
      <c r="A101" s="4"/>
    </row>
    <row r="102" ht="15.75" customHeight="1">
      <c r="A102" s="4"/>
    </row>
    <row r="103" ht="15.75" customHeight="1">
      <c r="A103" s="4"/>
    </row>
    <row r="104" ht="15.75" customHeight="1">
      <c r="A104" s="4"/>
    </row>
    <row r="105" ht="15.75" customHeight="1">
      <c r="A105" s="4"/>
    </row>
    <row r="106" ht="15.75" customHeight="1">
      <c r="A106" s="4"/>
    </row>
    <row r="107" ht="15.75" customHeight="1">
      <c r="A107" s="4"/>
    </row>
    <row r="108" ht="15.75" customHeight="1">
      <c r="A108" s="4"/>
    </row>
    <row r="109" ht="15.75" customHeight="1">
      <c r="A109" s="4"/>
    </row>
    <row r="110" ht="15.75" customHeight="1">
      <c r="A110" s="4"/>
    </row>
    <row r="111" ht="15.75" customHeight="1">
      <c r="A111" s="4"/>
    </row>
    <row r="112" ht="15.75" customHeight="1">
      <c r="A112" s="4"/>
    </row>
    <row r="113" ht="15.75" customHeight="1">
      <c r="A113" s="4"/>
    </row>
    <row r="114" ht="15.75" customHeight="1">
      <c r="A114" s="4"/>
    </row>
    <row r="115" ht="15.75" customHeight="1">
      <c r="A115" s="4"/>
    </row>
    <row r="116" ht="15.75" customHeight="1">
      <c r="A116" s="4"/>
    </row>
    <row r="117" ht="15.75" customHeight="1">
      <c r="A117" s="4"/>
    </row>
    <row r="118" ht="15.75" customHeight="1">
      <c r="A118" s="4"/>
    </row>
    <row r="119" ht="15.75" customHeight="1">
      <c r="A119" s="4"/>
    </row>
    <row r="120" ht="15.75" customHeight="1">
      <c r="A120" s="4"/>
    </row>
    <row r="121" ht="15.75" customHeight="1">
      <c r="A121" s="4"/>
    </row>
    <row r="122" ht="15.75" customHeight="1">
      <c r="A122" s="4"/>
    </row>
    <row r="123" ht="15.75" customHeight="1">
      <c r="A123" s="4"/>
    </row>
    <row r="124" ht="15.75" customHeight="1">
      <c r="A124" s="4"/>
    </row>
    <row r="125" ht="15.75" customHeight="1">
      <c r="A125" s="4"/>
    </row>
    <row r="126" ht="15.75" customHeight="1">
      <c r="A126" s="4"/>
    </row>
    <row r="127" ht="15.75" customHeight="1">
      <c r="A127" s="4"/>
    </row>
    <row r="128" ht="15.75" customHeight="1">
      <c r="A128" s="4"/>
    </row>
    <row r="129" ht="15.75" customHeight="1">
      <c r="A129" s="4"/>
    </row>
    <row r="130" ht="15.75" customHeight="1">
      <c r="A130" s="4"/>
    </row>
    <row r="131" ht="15.75" customHeight="1">
      <c r="A131" s="4"/>
    </row>
    <row r="132" ht="15.75" customHeight="1">
      <c r="A132" s="4"/>
    </row>
    <row r="133" ht="15.75" customHeight="1">
      <c r="A133" s="4"/>
    </row>
    <row r="134" ht="15.75" customHeight="1">
      <c r="A134" s="4"/>
    </row>
    <row r="135" ht="15.75" customHeight="1">
      <c r="A135" s="4"/>
    </row>
    <row r="136" ht="15.75" customHeight="1">
      <c r="A136" s="4"/>
    </row>
    <row r="137" ht="15.75" customHeight="1">
      <c r="A137" s="4"/>
    </row>
    <row r="138" ht="15.75" customHeight="1">
      <c r="A138" s="4"/>
    </row>
    <row r="139" ht="15.75" customHeight="1">
      <c r="A139" s="4"/>
    </row>
    <row r="140" ht="15.75" customHeight="1">
      <c r="A140" s="4"/>
    </row>
    <row r="141" ht="15.75" customHeight="1">
      <c r="A141" s="4"/>
    </row>
    <row r="142" ht="15.75" customHeight="1">
      <c r="A142" s="4"/>
    </row>
    <row r="143" ht="15.75" customHeight="1">
      <c r="A143" s="4"/>
    </row>
    <row r="144" ht="15.75" customHeight="1">
      <c r="A144" s="4"/>
    </row>
    <row r="145" ht="15.75" customHeight="1">
      <c r="A145" s="4"/>
    </row>
    <row r="146" ht="15.75" customHeight="1">
      <c r="A146" s="4"/>
    </row>
    <row r="147" ht="15.75" customHeight="1">
      <c r="A147" s="4"/>
    </row>
    <row r="148" ht="15.75" customHeight="1">
      <c r="A148" s="4"/>
    </row>
    <row r="149" ht="15.75" customHeight="1">
      <c r="A149" s="4"/>
    </row>
    <row r="150" ht="15.75" customHeight="1">
      <c r="A150" s="4"/>
    </row>
    <row r="151" ht="15.75" customHeight="1">
      <c r="A151" s="4"/>
    </row>
    <row r="152" ht="15.75" customHeight="1">
      <c r="A152" s="4"/>
    </row>
    <row r="153" ht="15.75" customHeight="1">
      <c r="A153" s="4"/>
    </row>
    <row r="154" ht="15.75" customHeight="1">
      <c r="A154" s="4"/>
    </row>
    <row r="155" ht="15.75" customHeight="1">
      <c r="A155" s="4"/>
    </row>
    <row r="156" ht="15.75" customHeight="1">
      <c r="A156" s="4"/>
    </row>
    <row r="157" ht="15.75" customHeight="1">
      <c r="A157" s="4"/>
    </row>
    <row r="158" ht="15.75" customHeight="1">
      <c r="A158" s="4"/>
    </row>
    <row r="159" ht="15.75" customHeight="1">
      <c r="A159" s="4"/>
    </row>
    <row r="160" ht="15.75" customHeight="1">
      <c r="A160" s="4"/>
    </row>
    <row r="161" ht="15.75" customHeight="1">
      <c r="A161" s="4"/>
    </row>
    <row r="162" ht="15.75" customHeight="1">
      <c r="A162" s="4"/>
    </row>
    <row r="163" ht="15.75" customHeight="1">
      <c r="A163" s="4"/>
    </row>
    <row r="164" ht="15.75" customHeight="1">
      <c r="A164" s="4"/>
    </row>
    <row r="165" ht="15.75" customHeight="1">
      <c r="A165" s="4"/>
    </row>
    <row r="166" ht="15.75" customHeight="1">
      <c r="A166" s="4"/>
    </row>
    <row r="167" ht="15.75" customHeight="1">
      <c r="A167" s="4"/>
    </row>
    <row r="168" ht="15.75" customHeight="1">
      <c r="A168" s="4"/>
    </row>
    <row r="169" ht="15.75" customHeight="1">
      <c r="A169" s="4"/>
    </row>
    <row r="170" ht="15.75" customHeight="1">
      <c r="A170" s="4"/>
    </row>
    <row r="171" ht="15.75" customHeight="1">
      <c r="A171" s="4"/>
    </row>
    <row r="172" ht="15.75" customHeight="1">
      <c r="A172" s="4"/>
    </row>
    <row r="173" ht="15.75" customHeight="1">
      <c r="A173" s="4"/>
    </row>
    <row r="174" ht="15.75" customHeight="1">
      <c r="A174" s="4"/>
    </row>
    <row r="175" ht="15.75" customHeight="1">
      <c r="A175" s="4"/>
    </row>
    <row r="176" ht="15.75" customHeight="1">
      <c r="A176" s="4"/>
    </row>
    <row r="177" ht="15.75" customHeight="1">
      <c r="A177" s="4"/>
    </row>
    <row r="178" ht="15.75" customHeight="1">
      <c r="A178" s="4"/>
    </row>
    <row r="179" ht="15.75" customHeight="1">
      <c r="A179" s="4"/>
    </row>
    <row r="180" ht="15.75" customHeight="1">
      <c r="A180" s="4"/>
    </row>
    <row r="181" ht="15.75" customHeight="1">
      <c r="A181" s="4"/>
    </row>
    <row r="182" ht="15.75" customHeight="1">
      <c r="A182" s="4"/>
    </row>
    <row r="183" ht="15.75" customHeight="1">
      <c r="A183" s="4"/>
    </row>
    <row r="184" ht="15.75" customHeight="1">
      <c r="A184" s="4"/>
    </row>
    <row r="185" ht="15.75" customHeight="1">
      <c r="A185" s="4"/>
    </row>
    <row r="186" ht="15.75" customHeight="1">
      <c r="A186" s="4"/>
    </row>
    <row r="187" ht="15.75" customHeight="1">
      <c r="A187" s="4"/>
    </row>
    <row r="188" ht="15.75" customHeight="1">
      <c r="A188" s="4"/>
    </row>
    <row r="189" ht="15.75" customHeight="1">
      <c r="A189" s="4"/>
    </row>
    <row r="190" ht="15.75" customHeight="1">
      <c r="A190" s="4"/>
    </row>
    <row r="191" ht="15.75" customHeight="1">
      <c r="A191" s="4"/>
    </row>
    <row r="192" ht="15.75" customHeight="1">
      <c r="A192" s="4"/>
    </row>
    <row r="193" ht="15.75" customHeight="1">
      <c r="A193" s="4"/>
    </row>
    <row r="194" ht="15.75" customHeight="1">
      <c r="A194" s="4"/>
    </row>
    <row r="195" ht="15.75" customHeight="1">
      <c r="A195" s="4"/>
    </row>
    <row r="196" ht="15.75" customHeight="1">
      <c r="A196" s="4"/>
    </row>
    <row r="197" ht="15.75" customHeight="1">
      <c r="A197" s="4"/>
    </row>
    <row r="198" ht="15.75" customHeight="1">
      <c r="A198" s="4"/>
    </row>
    <row r="199" ht="15.75" customHeight="1">
      <c r="A199" s="4"/>
    </row>
    <row r="200" ht="15.75" customHeight="1">
      <c r="A200" s="4"/>
    </row>
    <row r="201" ht="15.75" customHeight="1">
      <c r="A201" s="4"/>
    </row>
    <row r="202" ht="15.75" customHeight="1">
      <c r="A202" s="4"/>
    </row>
    <row r="203" ht="15.75" customHeight="1">
      <c r="A203" s="4"/>
    </row>
    <row r="204" ht="15.75" customHeight="1">
      <c r="A204" s="4"/>
    </row>
    <row r="205" ht="15.75" customHeight="1">
      <c r="A205" s="4"/>
    </row>
    <row r="206" ht="15.75" customHeight="1">
      <c r="A206" s="4"/>
    </row>
    <row r="207" ht="15.75" customHeight="1">
      <c r="A207" s="4"/>
    </row>
    <row r="208" ht="15.75" customHeight="1">
      <c r="A208" s="4"/>
    </row>
    <row r="209" ht="15.75" customHeight="1">
      <c r="A209" s="4"/>
    </row>
    <row r="210" ht="15.75" customHeight="1">
      <c r="A210" s="4"/>
    </row>
    <row r="211" ht="15.75" customHeight="1">
      <c r="A211" s="4"/>
    </row>
    <row r="212" ht="15.75" customHeight="1">
      <c r="A212" s="4"/>
    </row>
    <row r="213" ht="15.75" customHeight="1">
      <c r="A213" s="4"/>
    </row>
    <row r="214" ht="15.75" customHeight="1">
      <c r="A214" s="4"/>
    </row>
    <row r="215" ht="15.75" customHeight="1">
      <c r="A215" s="4"/>
    </row>
    <row r="216" ht="15.75" customHeight="1">
      <c r="A216" s="4"/>
    </row>
    <row r="217" ht="15.75" customHeight="1">
      <c r="A217" s="4"/>
    </row>
    <row r="218" ht="15.75" customHeight="1">
      <c r="A218" s="4"/>
    </row>
    <row r="219" ht="15.75" customHeight="1">
      <c r="A219" s="4"/>
    </row>
    <row r="220" ht="15.75" customHeight="1">
      <c r="A220" s="4"/>
    </row>
    <row r="221" ht="15.75" customHeight="1">
      <c r="A221" s="8"/>
    </row>
    <row r="222" ht="15.75" customHeight="1">
      <c r="A222" s="8"/>
    </row>
    <row r="223" ht="15.75" customHeight="1">
      <c r="A223" s="8"/>
    </row>
    <row r="224" ht="15.75" customHeight="1">
      <c r="A224" s="8"/>
    </row>
    <row r="225" ht="15.75" customHeight="1">
      <c r="A225" s="8"/>
    </row>
    <row r="226" ht="15.75" customHeight="1">
      <c r="A226" s="8"/>
    </row>
    <row r="227" ht="15.75" customHeight="1">
      <c r="A227" s="8"/>
    </row>
    <row r="228" ht="15.75" customHeight="1">
      <c r="A228" s="8"/>
    </row>
    <row r="229" ht="15.7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>
      <c r="A343" s="8"/>
    </row>
    <row r="344" ht="15.75" customHeight="1">
      <c r="A344" s="8"/>
    </row>
    <row r="345" ht="15.75" customHeight="1">
      <c r="A345" s="8"/>
    </row>
    <row r="346" ht="15.75" customHeight="1">
      <c r="A346" s="8"/>
    </row>
    <row r="347" ht="15.75" customHeight="1">
      <c r="A347" s="8"/>
    </row>
    <row r="348" ht="15.75" customHeight="1">
      <c r="A348" s="8"/>
    </row>
    <row r="349" ht="15.75" customHeight="1">
      <c r="A349" s="8"/>
    </row>
    <row r="350" ht="15.75" customHeight="1">
      <c r="A350" s="8"/>
    </row>
    <row r="351" ht="15.75" customHeight="1">
      <c r="A351" s="8"/>
    </row>
    <row r="352" ht="15.75" customHeight="1">
      <c r="A352" s="8"/>
    </row>
    <row r="353" ht="15.75" customHeight="1">
      <c r="A353" s="8"/>
    </row>
    <row r="354" ht="15.75" customHeight="1">
      <c r="A354" s="8"/>
    </row>
    <row r="355" ht="15.75" customHeight="1">
      <c r="A355" s="8"/>
    </row>
    <row r="356" ht="15.75" customHeight="1">
      <c r="A356" s="8"/>
    </row>
    <row r="357" ht="15.75" customHeight="1">
      <c r="A357" s="8"/>
    </row>
    <row r="358" ht="15.75" customHeight="1">
      <c r="A358" s="8"/>
    </row>
    <row r="359" ht="15.75" customHeight="1">
      <c r="A359" s="8"/>
    </row>
    <row r="360" ht="15.75" customHeight="1">
      <c r="A360" s="8"/>
    </row>
    <row r="361" ht="15.75" customHeight="1">
      <c r="A361" s="8"/>
    </row>
    <row r="362" ht="15.75" customHeight="1">
      <c r="A362" s="8"/>
    </row>
    <row r="363" ht="15.75" customHeight="1">
      <c r="A363" s="8"/>
    </row>
    <row r="364" ht="15.75" customHeight="1">
      <c r="A364" s="8"/>
    </row>
    <row r="365" ht="15.75" customHeight="1">
      <c r="A365" s="8"/>
    </row>
    <row r="366" ht="15.75" customHeight="1">
      <c r="A366" s="8"/>
    </row>
    <row r="367" ht="15.75" customHeight="1">
      <c r="A367" s="8"/>
    </row>
    <row r="368" ht="15.75" customHeight="1">
      <c r="A368" s="8"/>
    </row>
    <row r="369" ht="15.75" customHeight="1">
      <c r="A369" s="8"/>
    </row>
    <row r="370" ht="15.75" customHeight="1">
      <c r="A370" s="8"/>
    </row>
    <row r="371" ht="15.75" customHeight="1">
      <c r="A371" s="8"/>
    </row>
    <row r="372" ht="15.75" customHeight="1">
      <c r="A372" s="8"/>
    </row>
    <row r="373" ht="15.75" customHeight="1">
      <c r="A373" s="8"/>
    </row>
    <row r="374" ht="15.75" customHeight="1">
      <c r="A374" s="8"/>
    </row>
    <row r="375" ht="15.75" customHeight="1">
      <c r="A375" s="8"/>
    </row>
    <row r="376" ht="15.75" customHeight="1">
      <c r="A376" s="8"/>
    </row>
    <row r="377" ht="15.75" customHeight="1">
      <c r="A377" s="8"/>
    </row>
    <row r="378" ht="15.75" customHeight="1">
      <c r="A378" s="8"/>
    </row>
    <row r="379" ht="15.75" customHeight="1">
      <c r="A379" s="8"/>
    </row>
    <row r="380" ht="15.75" customHeight="1">
      <c r="A380" s="8"/>
    </row>
    <row r="381" ht="15.75" customHeight="1">
      <c r="A381" s="8"/>
    </row>
    <row r="382" ht="15.75" customHeight="1">
      <c r="A382" s="8"/>
    </row>
    <row r="383" ht="15.75" customHeight="1">
      <c r="A383" s="8"/>
    </row>
    <row r="384" ht="15.75" customHeight="1">
      <c r="A384" s="8"/>
    </row>
    <row r="385" ht="15.75" customHeight="1">
      <c r="A385" s="8"/>
    </row>
    <row r="386" ht="15.75" customHeight="1">
      <c r="A386" s="8"/>
    </row>
    <row r="387" ht="15.75" customHeight="1">
      <c r="A387" s="8"/>
    </row>
    <row r="388" ht="15.75" customHeight="1">
      <c r="A388" s="8"/>
    </row>
    <row r="389" ht="15.75" customHeight="1">
      <c r="A389" s="8"/>
    </row>
    <row r="390" ht="15.75" customHeight="1">
      <c r="A390" s="8"/>
    </row>
    <row r="391" ht="15.75" customHeight="1">
      <c r="A391" s="8"/>
    </row>
    <row r="392" ht="15.75" customHeight="1">
      <c r="A392" s="8"/>
    </row>
    <row r="393" ht="15.75" customHeight="1">
      <c r="A393" s="8"/>
    </row>
    <row r="394" ht="15.75" customHeight="1">
      <c r="A394" s="8"/>
    </row>
    <row r="395" ht="15.75" customHeight="1">
      <c r="A395" s="8"/>
    </row>
    <row r="396" ht="15.75" customHeight="1">
      <c r="A396" s="8"/>
    </row>
    <row r="397" ht="15.75" customHeight="1">
      <c r="A397" s="8"/>
    </row>
    <row r="398" ht="15.75" customHeight="1">
      <c r="A398" s="8"/>
    </row>
    <row r="399" ht="15.75" customHeight="1">
      <c r="A399" s="8"/>
    </row>
    <row r="400" ht="15.75" customHeight="1">
      <c r="A400" s="8"/>
    </row>
    <row r="401" ht="15.75" customHeight="1">
      <c r="A401" s="8"/>
    </row>
    <row r="402" ht="15.75" customHeight="1">
      <c r="A402" s="8"/>
    </row>
    <row r="403" ht="15.75" customHeight="1">
      <c r="A403" s="8"/>
    </row>
    <row r="404" ht="15.75" customHeight="1">
      <c r="A404" s="8"/>
    </row>
    <row r="405" ht="15.75" customHeight="1">
      <c r="A405" s="8"/>
    </row>
    <row r="406" ht="15.75" customHeight="1">
      <c r="A406" s="8"/>
    </row>
    <row r="407" ht="15.75" customHeight="1">
      <c r="A407" s="8"/>
    </row>
    <row r="408" ht="15.75" customHeight="1">
      <c r="A408" s="8"/>
    </row>
    <row r="409" ht="15.75" customHeight="1">
      <c r="A409" s="8"/>
    </row>
    <row r="410" ht="15.75" customHeight="1">
      <c r="A410" s="8"/>
    </row>
    <row r="411" ht="15.75" customHeight="1">
      <c r="A411" s="8"/>
    </row>
    <row r="412" ht="15.75" customHeight="1">
      <c r="A412" s="8"/>
    </row>
    <row r="413" ht="15.75" customHeight="1">
      <c r="A413" s="8"/>
    </row>
    <row r="414" ht="15.75" customHeight="1">
      <c r="A414" s="8"/>
    </row>
    <row r="415" ht="15.75" customHeight="1">
      <c r="A415" s="8"/>
    </row>
    <row r="416" ht="15.75" customHeight="1">
      <c r="A416" s="8"/>
    </row>
    <row r="417" ht="15.75" customHeight="1">
      <c r="A417" s="8"/>
    </row>
    <row r="418" ht="15.75" customHeight="1">
      <c r="A418" s="8"/>
    </row>
    <row r="419" ht="15.75" customHeight="1">
      <c r="A419" s="8"/>
    </row>
    <row r="420" ht="15.75" customHeight="1">
      <c r="A420" s="8"/>
    </row>
    <row r="421" ht="15.75" customHeight="1">
      <c r="A421" s="8"/>
    </row>
    <row r="422" ht="15.75" customHeight="1">
      <c r="A422" s="8"/>
    </row>
    <row r="423" ht="15.75" customHeight="1">
      <c r="A423" s="8"/>
    </row>
    <row r="424" ht="15.75" customHeight="1">
      <c r="A424" s="8"/>
    </row>
    <row r="425" ht="15.75" customHeight="1">
      <c r="A425" s="8"/>
    </row>
    <row r="426" ht="15.75" customHeight="1">
      <c r="A426" s="8"/>
    </row>
    <row r="427" ht="15.75" customHeight="1">
      <c r="A427" s="8"/>
    </row>
    <row r="428" ht="15.75" customHeight="1">
      <c r="A428" s="8"/>
    </row>
    <row r="429" ht="15.75" customHeight="1">
      <c r="A429" s="8"/>
    </row>
    <row r="430" ht="15.75" customHeight="1">
      <c r="A430" s="8"/>
    </row>
    <row r="431" ht="15.75" customHeight="1">
      <c r="A431" s="8"/>
    </row>
    <row r="432" ht="15.75" customHeight="1">
      <c r="A432" s="8"/>
    </row>
    <row r="433" ht="15.75" customHeight="1">
      <c r="A433" s="8"/>
    </row>
    <row r="434" ht="15.75" customHeight="1">
      <c r="A434" s="8"/>
    </row>
    <row r="435" ht="15.75" customHeight="1">
      <c r="A435" s="8"/>
    </row>
    <row r="436" ht="15.75" customHeight="1">
      <c r="A436" s="8"/>
    </row>
    <row r="437" ht="15.75" customHeight="1">
      <c r="A437" s="8"/>
    </row>
    <row r="438" ht="15.75" customHeight="1">
      <c r="A438" s="8"/>
    </row>
    <row r="439" ht="15.75" customHeight="1">
      <c r="A439" s="8"/>
    </row>
    <row r="440" ht="15.75" customHeight="1">
      <c r="A440" s="8"/>
    </row>
    <row r="441" ht="15.75" customHeight="1">
      <c r="A441" s="8"/>
    </row>
    <row r="442" ht="15.75" customHeight="1">
      <c r="A442" s="8"/>
    </row>
    <row r="443" ht="15.75" customHeight="1">
      <c r="A443" s="8"/>
    </row>
    <row r="444" ht="15.75" customHeight="1">
      <c r="A444" s="8"/>
    </row>
    <row r="445" ht="15.75" customHeight="1">
      <c r="A445" s="8"/>
    </row>
    <row r="446" ht="15.75" customHeight="1">
      <c r="A446" s="8"/>
    </row>
    <row r="447" ht="15.75" customHeight="1">
      <c r="A447" s="8"/>
    </row>
    <row r="448" ht="15.75" customHeight="1">
      <c r="A448" s="8"/>
    </row>
    <row r="449" ht="15.75" customHeight="1">
      <c r="A449" s="8"/>
    </row>
    <row r="450" ht="15.75" customHeight="1">
      <c r="A450" s="8"/>
    </row>
    <row r="451" ht="15.75" customHeight="1">
      <c r="A451" s="8"/>
    </row>
    <row r="452" ht="15.75" customHeight="1">
      <c r="A452" s="8"/>
    </row>
    <row r="453" ht="15.75" customHeight="1">
      <c r="A453" s="8"/>
    </row>
    <row r="454" ht="15.75" customHeight="1">
      <c r="A454" s="8"/>
    </row>
    <row r="455" ht="15.75" customHeight="1">
      <c r="A455" s="8"/>
    </row>
    <row r="456" ht="15.75" customHeight="1">
      <c r="A456" s="8"/>
    </row>
    <row r="457" ht="15.75" customHeight="1">
      <c r="A457" s="8"/>
    </row>
    <row r="458" ht="15.75" customHeight="1">
      <c r="A458" s="8"/>
    </row>
    <row r="459" ht="15.75" customHeight="1">
      <c r="A459" s="8"/>
    </row>
    <row r="460" ht="15.75" customHeight="1">
      <c r="A460" s="8"/>
    </row>
    <row r="461" ht="15.75" customHeight="1">
      <c r="A461" s="8"/>
    </row>
    <row r="462" ht="15.75" customHeight="1">
      <c r="A462" s="8"/>
    </row>
    <row r="463" ht="15.75" customHeight="1">
      <c r="A463" s="8"/>
    </row>
    <row r="464" ht="15.75" customHeight="1">
      <c r="A464" s="8"/>
    </row>
    <row r="465" ht="15.75" customHeight="1">
      <c r="A465" s="8"/>
    </row>
    <row r="466" ht="15.75" customHeight="1">
      <c r="A466" s="8"/>
    </row>
    <row r="467" ht="15.75" customHeight="1">
      <c r="A467" s="8"/>
    </row>
    <row r="468" ht="15.75" customHeight="1">
      <c r="A468" s="8"/>
    </row>
    <row r="469" ht="15.75" customHeight="1">
      <c r="A469" s="8"/>
    </row>
    <row r="470" ht="15.75" customHeight="1">
      <c r="A470" s="8"/>
    </row>
    <row r="471" ht="15.75" customHeight="1">
      <c r="A471" s="8"/>
    </row>
    <row r="472" ht="15.75" customHeight="1">
      <c r="A472" s="8"/>
    </row>
    <row r="473" ht="15.75" customHeight="1">
      <c r="A473" s="8"/>
    </row>
    <row r="474" ht="15.75" customHeight="1">
      <c r="A474" s="8"/>
    </row>
    <row r="475" ht="15.75" customHeight="1">
      <c r="A475" s="8"/>
    </row>
    <row r="476" ht="15.75" customHeight="1">
      <c r="A476" s="8"/>
    </row>
    <row r="477" ht="15.75" customHeight="1">
      <c r="A477" s="8"/>
    </row>
    <row r="478" ht="15.75" customHeight="1">
      <c r="A478" s="8"/>
    </row>
    <row r="479" ht="15.75" customHeight="1">
      <c r="A479" s="8"/>
    </row>
    <row r="480" ht="15.75" customHeight="1">
      <c r="A480" s="8"/>
    </row>
    <row r="481" ht="15.75" customHeight="1">
      <c r="A481" s="8"/>
    </row>
    <row r="482" ht="15.75" customHeight="1">
      <c r="A482" s="8"/>
    </row>
    <row r="483" ht="15.75" customHeight="1">
      <c r="A483" s="8"/>
    </row>
    <row r="484" ht="15.75" customHeight="1">
      <c r="A484" s="8"/>
    </row>
    <row r="485" ht="15.75" customHeight="1">
      <c r="A485" s="8"/>
    </row>
    <row r="486" ht="15.75" customHeight="1">
      <c r="A486" s="8"/>
    </row>
    <row r="487" ht="15.75" customHeight="1">
      <c r="A487" s="8"/>
    </row>
    <row r="488" ht="15.75" customHeight="1">
      <c r="A488" s="8"/>
    </row>
    <row r="489" ht="15.75" customHeight="1">
      <c r="A489" s="8"/>
    </row>
    <row r="490" ht="15.75" customHeight="1">
      <c r="A490" s="8"/>
    </row>
    <row r="491" ht="15.75" customHeight="1">
      <c r="A491" s="8"/>
    </row>
    <row r="492" ht="15.75" customHeight="1">
      <c r="A492" s="8"/>
    </row>
    <row r="493" ht="15.75" customHeight="1">
      <c r="A493" s="8"/>
    </row>
    <row r="494" ht="15.75" customHeight="1">
      <c r="A494" s="8"/>
    </row>
    <row r="495" ht="15.75" customHeight="1">
      <c r="A495" s="8"/>
    </row>
    <row r="496" ht="15.75" customHeight="1">
      <c r="A496" s="8"/>
    </row>
    <row r="497" ht="15.75" customHeight="1">
      <c r="A497" s="8"/>
    </row>
    <row r="498" ht="15.75" customHeight="1">
      <c r="A498" s="8"/>
    </row>
    <row r="499" ht="15.75" customHeight="1">
      <c r="A499" s="8"/>
    </row>
    <row r="500" ht="15.75" customHeight="1">
      <c r="A500" s="8"/>
    </row>
    <row r="501" ht="15.75" customHeight="1">
      <c r="A501" s="8"/>
    </row>
    <row r="502" ht="15.75" customHeight="1">
      <c r="A502" s="8"/>
    </row>
    <row r="503" ht="15.75" customHeight="1">
      <c r="A503" s="8"/>
    </row>
    <row r="504" ht="15.75" customHeight="1">
      <c r="A504" s="8"/>
    </row>
    <row r="505" ht="15.75" customHeight="1">
      <c r="A505" s="8"/>
    </row>
    <row r="506" ht="15.75" customHeight="1">
      <c r="A506" s="8"/>
    </row>
    <row r="507" ht="15.75" customHeight="1">
      <c r="A507" s="8"/>
    </row>
    <row r="508" ht="15.75" customHeight="1">
      <c r="A508" s="8"/>
    </row>
    <row r="509" ht="15.75" customHeight="1">
      <c r="A509" s="8"/>
    </row>
    <row r="510" ht="15.75" customHeight="1">
      <c r="A510" s="8"/>
    </row>
    <row r="511" ht="15.75" customHeight="1">
      <c r="A511" s="8"/>
    </row>
    <row r="512" ht="15.75" customHeight="1">
      <c r="A512" s="8"/>
    </row>
    <row r="513" ht="15.75" customHeight="1">
      <c r="A513" s="8"/>
    </row>
    <row r="514" ht="15.75" customHeight="1">
      <c r="A514" s="8"/>
    </row>
    <row r="515" ht="15.75" customHeight="1">
      <c r="A515" s="8"/>
    </row>
    <row r="516" ht="15.75" customHeight="1">
      <c r="A516" s="8"/>
    </row>
    <row r="517" ht="15.75" customHeight="1">
      <c r="A517" s="8"/>
    </row>
    <row r="518" ht="15.75" customHeight="1">
      <c r="A518" s="8"/>
    </row>
    <row r="519" ht="15.75" customHeight="1">
      <c r="A519" s="8"/>
    </row>
    <row r="520" ht="15.75" customHeight="1">
      <c r="A520" s="8"/>
    </row>
    <row r="521" ht="15.75" customHeight="1">
      <c r="A521" s="8"/>
    </row>
    <row r="522" ht="15.75" customHeight="1">
      <c r="A522" s="8"/>
    </row>
    <row r="523" ht="15.75" customHeight="1">
      <c r="A523" s="8"/>
    </row>
    <row r="524" ht="15.75" customHeight="1">
      <c r="A524" s="8"/>
    </row>
    <row r="525" ht="15.75" customHeight="1">
      <c r="A525" s="8"/>
    </row>
    <row r="526" ht="15.75" customHeight="1">
      <c r="A526" s="8"/>
    </row>
    <row r="527" ht="15.75" customHeight="1">
      <c r="A527" s="8"/>
    </row>
    <row r="528" ht="15.75" customHeight="1">
      <c r="A528" s="8"/>
    </row>
    <row r="529" ht="15.75" customHeight="1">
      <c r="A529" s="8"/>
    </row>
    <row r="530" ht="15.75" customHeight="1">
      <c r="A530" s="8"/>
    </row>
    <row r="531" ht="15.75" customHeight="1">
      <c r="A531" s="8"/>
    </row>
    <row r="532" ht="15.75" customHeight="1">
      <c r="A532" s="8"/>
    </row>
    <row r="533" ht="15.75" customHeight="1">
      <c r="A533" s="8"/>
    </row>
    <row r="534" ht="15.75" customHeight="1">
      <c r="A534" s="8"/>
    </row>
    <row r="535" ht="15.75" customHeight="1">
      <c r="A535" s="8"/>
    </row>
    <row r="536" ht="15.75" customHeight="1">
      <c r="A536" s="8"/>
    </row>
    <row r="537" ht="15.75" customHeight="1">
      <c r="A537" s="8"/>
    </row>
    <row r="538" ht="15.75" customHeight="1">
      <c r="A538" s="8"/>
    </row>
    <row r="539" ht="15.75" customHeight="1">
      <c r="A539" s="8"/>
    </row>
    <row r="540" ht="15.75" customHeight="1">
      <c r="A540" s="8"/>
    </row>
    <row r="541" ht="15.75" customHeight="1">
      <c r="A541" s="8"/>
    </row>
    <row r="542" ht="15.75" customHeight="1">
      <c r="A542" s="8"/>
    </row>
    <row r="543" ht="15.75" customHeight="1">
      <c r="A543" s="8"/>
    </row>
    <row r="544" ht="15.75" customHeight="1">
      <c r="A544" s="8"/>
    </row>
    <row r="545" ht="15.75" customHeight="1">
      <c r="A545" s="8"/>
    </row>
    <row r="546" ht="15.75" customHeight="1">
      <c r="A546" s="8"/>
    </row>
    <row r="547" ht="15.75" customHeight="1">
      <c r="A547" s="8"/>
    </row>
    <row r="548" ht="15.75" customHeight="1">
      <c r="A548" s="8"/>
    </row>
    <row r="549" ht="15.75" customHeight="1">
      <c r="A549" s="8"/>
    </row>
    <row r="550" ht="15.75" customHeight="1">
      <c r="A550" s="8"/>
    </row>
    <row r="551" ht="15.75" customHeight="1">
      <c r="A551" s="8"/>
    </row>
    <row r="552" ht="15.75" customHeight="1">
      <c r="A552" s="8"/>
    </row>
    <row r="553" ht="15.75" customHeight="1">
      <c r="A553" s="8"/>
    </row>
    <row r="554" ht="15.75" customHeight="1">
      <c r="A554" s="8"/>
    </row>
    <row r="555" ht="15.75" customHeight="1">
      <c r="A555" s="8"/>
    </row>
    <row r="556" ht="15.75" customHeight="1">
      <c r="A556" s="8"/>
    </row>
    <row r="557" ht="15.75" customHeight="1">
      <c r="A557" s="8"/>
    </row>
    <row r="558" ht="15.75" customHeight="1">
      <c r="A558" s="8"/>
    </row>
    <row r="559" ht="15.75" customHeight="1">
      <c r="A559" s="8"/>
    </row>
    <row r="560" ht="15.75" customHeight="1">
      <c r="A560" s="8"/>
    </row>
    <row r="561" ht="15.75" customHeight="1">
      <c r="A561" s="8"/>
    </row>
    <row r="562" ht="15.75" customHeight="1">
      <c r="A562" s="8"/>
    </row>
    <row r="563" ht="15.75" customHeight="1">
      <c r="A563" s="8"/>
    </row>
    <row r="564" ht="15.75" customHeight="1">
      <c r="A564" s="8"/>
    </row>
    <row r="565" ht="15.75" customHeight="1">
      <c r="A565" s="8"/>
    </row>
    <row r="566" ht="15.75" customHeight="1">
      <c r="A566" s="8"/>
    </row>
    <row r="567" ht="15.75" customHeight="1">
      <c r="A567" s="8"/>
    </row>
    <row r="568" ht="15.75" customHeight="1">
      <c r="A568" s="8"/>
    </row>
    <row r="569" ht="15.75" customHeight="1">
      <c r="A569" s="8"/>
    </row>
    <row r="570" ht="15.75" customHeight="1">
      <c r="A570" s="8"/>
    </row>
    <row r="571" ht="15.75" customHeight="1">
      <c r="A571" s="8"/>
    </row>
    <row r="572" ht="15.75" customHeight="1">
      <c r="A572" s="8"/>
    </row>
    <row r="573" ht="15.75" customHeight="1">
      <c r="A573" s="8"/>
    </row>
    <row r="574" ht="15.75" customHeight="1">
      <c r="A574" s="8"/>
    </row>
    <row r="575" ht="15.75" customHeight="1">
      <c r="A575" s="8"/>
    </row>
    <row r="576" ht="15.75" customHeight="1">
      <c r="A576" s="8"/>
    </row>
    <row r="577" ht="15.75" customHeight="1">
      <c r="A577" s="8"/>
    </row>
    <row r="578" ht="15.75" customHeight="1">
      <c r="A578" s="8"/>
    </row>
    <row r="579" ht="15.75" customHeight="1">
      <c r="A579" s="8"/>
    </row>
    <row r="580" ht="15.75" customHeight="1">
      <c r="A580" s="8"/>
    </row>
    <row r="581" ht="15.75" customHeight="1">
      <c r="A581" s="8"/>
    </row>
    <row r="582" ht="15.75" customHeight="1">
      <c r="A582" s="8"/>
    </row>
    <row r="583" ht="15.75" customHeight="1">
      <c r="A583" s="8"/>
    </row>
    <row r="584" ht="15.75" customHeight="1">
      <c r="A584" s="8"/>
    </row>
    <row r="585" ht="15.75" customHeight="1">
      <c r="A585" s="8"/>
    </row>
    <row r="586" ht="15.75" customHeight="1">
      <c r="A586" s="8"/>
    </row>
    <row r="587" ht="15.75" customHeight="1">
      <c r="A587" s="8"/>
    </row>
    <row r="588" ht="15.75" customHeight="1">
      <c r="A588" s="8"/>
    </row>
    <row r="589" ht="15.75" customHeight="1">
      <c r="A589" s="8"/>
    </row>
    <row r="590" ht="15.75" customHeight="1">
      <c r="A590" s="8"/>
    </row>
    <row r="591" ht="15.75" customHeight="1">
      <c r="A591" s="8"/>
    </row>
    <row r="592" ht="15.75" customHeight="1">
      <c r="A592" s="8"/>
    </row>
    <row r="593" ht="15.75" customHeight="1">
      <c r="A593" s="8"/>
    </row>
    <row r="594" ht="15.75" customHeight="1">
      <c r="A594" s="8"/>
    </row>
    <row r="595" ht="15.75" customHeight="1">
      <c r="A595" s="8"/>
    </row>
    <row r="596" ht="15.75" customHeight="1">
      <c r="A596" s="8"/>
    </row>
    <row r="597" ht="15.75" customHeight="1">
      <c r="A597" s="8"/>
    </row>
    <row r="598" ht="15.75" customHeight="1">
      <c r="A598" s="8"/>
    </row>
    <row r="599" ht="15.75" customHeight="1">
      <c r="A599" s="8"/>
    </row>
    <row r="600" ht="15.75" customHeight="1">
      <c r="A600" s="8"/>
    </row>
    <row r="601" ht="15.75" customHeight="1">
      <c r="A601" s="8"/>
    </row>
    <row r="602" ht="15.75" customHeight="1">
      <c r="A602" s="8"/>
    </row>
    <row r="603" ht="15.75" customHeight="1">
      <c r="A603" s="8"/>
    </row>
    <row r="604" ht="15.75" customHeight="1">
      <c r="A604" s="8"/>
    </row>
    <row r="605" ht="15.75" customHeight="1">
      <c r="A605" s="8"/>
    </row>
    <row r="606" ht="15.75" customHeight="1">
      <c r="A606" s="8"/>
    </row>
    <row r="607" ht="15.75" customHeight="1">
      <c r="A607" s="8"/>
    </row>
    <row r="608" ht="15.75" customHeight="1">
      <c r="A608" s="8"/>
    </row>
    <row r="609" ht="15.75" customHeight="1">
      <c r="A609" s="8"/>
    </row>
    <row r="610" ht="15.75" customHeight="1">
      <c r="A610" s="8"/>
    </row>
    <row r="611" ht="15.75" customHeight="1">
      <c r="A611" s="8"/>
    </row>
    <row r="612" ht="15.75" customHeight="1">
      <c r="A612" s="8"/>
    </row>
    <row r="613" ht="15.75" customHeight="1">
      <c r="A613" s="8"/>
    </row>
    <row r="614" ht="15.75" customHeight="1">
      <c r="A614" s="8"/>
    </row>
    <row r="615" ht="15.75" customHeight="1">
      <c r="A615" s="8"/>
    </row>
    <row r="616" ht="15.75" customHeight="1">
      <c r="A616" s="8"/>
    </row>
    <row r="617" ht="15.75" customHeight="1">
      <c r="A617" s="8"/>
    </row>
    <row r="618" ht="15.75" customHeight="1">
      <c r="A618" s="8"/>
    </row>
    <row r="619" ht="15.75" customHeight="1">
      <c r="A619" s="8"/>
    </row>
    <row r="620" ht="15.75" customHeight="1">
      <c r="A620" s="8"/>
    </row>
    <row r="621" ht="15.75" customHeight="1">
      <c r="A621" s="8"/>
    </row>
    <row r="622" ht="15.75" customHeight="1">
      <c r="A622" s="8"/>
    </row>
    <row r="623" ht="15.75" customHeight="1">
      <c r="A623" s="8"/>
    </row>
    <row r="624" ht="15.75" customHeight="1">
      <c r="A624" s="8"/>
    </row>
    <row r="625" ht="15.75" customHeight="1">
      <c r="A625" s="8"/>
    </row>
    <row r="626" ht="15.75" customHeight="1">
      <c r="A626" s="8"/>
    </row>
    <row r="627" ht="15.75" customHeight="1">
      <c r="A627" s="8"/>
    </row>
    <row r="628" ht="15.75" customHeight="1">
      <c r="A628" s="8"/>
    </row>
    <row r="629" ht="15.75" customHeight="1">
      <c r="A629" s="8"/>
    </row>
    <row r="630" ht="15.75" customHeight="1">
      <c r="A630" s="8"/>
    </row>
    <row r="631" ht="15.75" customHeight="1">
      <c r="A631" s="8"/>
    </row>
    <row r="632" ht="15.75" customHeight="1">
      <c r="A632" s="8"/>
    </row>
    <row r="633" ht="15.75" customHeight="1">
      <c r="A633" s="8"/>
    </row>
    <row r="634" ht="15.75" customHeight="1">
      <c r="A634" s="8"/>
    </row>
    <row r="635" ht="15.75" customHeight="1">
      <c r="A635" s="8"/>
    </row>
    <row r="636" ht="15.75" customHeight="1">
      <c r="A636" s="8"/>
    </row>
    <row r="637" ht="15.75" customHeight="1">
      <c r="A637" s="8"/>
    </row>
    <row r="638" ht="15.75" customHeight="1">
      <c r="A638" s="8"/>
    </row>
    <row r="639" ht="15.75" customHeight="1">
      <c r="A639" s="8"/>
    </row>
    <row r="640" ht="15.75" customHeight="1">
      <c r="A640" s="8"/>
    </row>
    <row r="641" ht="15.75" customHeight="1">
      <c r="A641" s="8"/>
    </row>
    <row r="642" ht="15.75" customHeight="1">
      <c r="A642" s="8"/>
    </row>
    <row r="643" ht="15.75" customHeight="1">
      <c r="A643" s="8"/>
    </row>
    <row r="644" ht="15.75" customHeight="1">
      <c r="A644" s="8"/>
    </row>
    <row r="645" ht="15.75" customHeight="1">
      <c r="A645" s="8"/>
    </row>
    <row r="646" ht="15.75" customHeight="1">
      <c r="A646" s="8"/>
    </row>
    <row r="647" ht="15.75" customHeight="1">
      <c r="A647" s="8"/>
    </row>
    <row r="648" ht="15.75" customHeight="1">
      <c r="A648" s="8"/>
    </row>
    <row r="649" ht="15.75" customHeight="1">
      <c r="A649" s="8"/>
    </row>
    <row r="650" ht="15.75" customHeight="1">
      <c r="A650" s="8"/>
    </row>
    <row r="651" ht="15.75" customHeight="1">
      <c r="A651" s="8"/>
    </row>
    <row r="652" ht="15.75" customHeight="1">
      <c r="A652" s="8"/>
    </row>
    <row r="653" ht="15.75" customHeight="1">
      <c r="A653" s="8"/>
    </row>
    <row r="654" ht="15.75" customHeight="1">
      <c r="A654" s="8"/>
    </row>
    <row r="655" ht="15.75" customHeight="1">
      <c r="A655" s="8"/>
    </row>
    <row r="656" ht="15.75" customHeight="1">
      <c r="A656" s="8"/>
    </row>
    <row r="657" ht="15.75" customHeight="1">
      <c r="A657" s="8"/>
    </row>
    <row r="658" ht="15.75" customHeight="1">
      <c r="A658" s="8"/>
    </row>
    <row r="659" ht="15.75" customHeight="1">
      <c r="A659" s="8"/>
    </row>
    <row r="660" ht="15.75" customHeight="1">
      <c r="A660" s="8"/>
    </row>
    <row r="661" ht="15.75" customHeight="1">
      <c r="A661" s="8"/>
    </row>
    <row r="662" ht="15.75" customHeight="1">
      <c r="A662" s="8"/>
    </row>
    <row r="663" ht="15.75" customHeight="1">
      <c r="A663" s="8"/>
    </row>
    <row r="664" ht="15.75" customHeight="1">
      <c r="A664" s="8"/>
    </row>
    <row r="665" ht="15.75" customHeight="1">
      <c r="A665" s="8"/>
    </row>
    <row r="666" ht="15.75" customHeight="1">
      <c r="A666" s="8"/>
    </row>
    <row r="667" ht="15.75" customHeight="1">
      <c r="A667" s="8"/>
    </row>
    <row r="668" ht="15.75" customHeight="1">
      <c r="A668" s="8"/>
    </row>
    <row r="669" ht="15.75" customHeight="1">
      <c r="A669" s="8"/>
    </row>
    <row r="670" ht="15.75" customHeight="1">
      <c r="A670" s="8"/>
    </row>
    <row r="671" ht="15.75" customHeight="1">
      <c r="A671" s="8"/>
    </row>
    <row r="672" ht="15.75" customHeight="1">
      <c r="A672" s="8"/>
    </row>
    <row r="673" ht="15.75" customHeight="1">
      <c r="A673" s="8"/>
    </row>
    <row r="674" ht="15.75" customHeight="1">
      <c r="A674" s="8"/>
    </row>
    <row r="675" ht="15.75" customHeight="1">
      <c r="A675" s="8"/>
    </row>
    <row r="676" ht="15.75" customHeight="1">
      <c r="A676" s="8"/>
    </row>
    <row r="677" ht="15.75" customHeight="1">
      <c r="A677" s="8"/>
    </row>
    <row r="678" ht="15.75" customHeight="1">
      <c r="A678" s="8"/>
    </row>
    <row r="679" ht="15.75" customHeight="1">
      <c r="A679" s="8"/>
    </row>
    <row r="680" ht="15.75" customHeight="1">
      <c r="A680" s="8"/>
    </row>
    <row r="681" ht="15.75" customHeight="1">
      <c r="A681" s="8"/>
    </row>
    <row r="682" ht="15.75" customHeight="1">
      <c r="A682" s="8"/>
    </row>
    <row r="683" ht="15.75" customHeight="1">
      <c r="A683" s="8"/>
    </row>
    <row r="684" ht="15.75" customHeight="1">
      <c r="A684" s="8"/>
    </row>
    <row r="685" ht="15.75" customHeight="1">
      <c r="A685" s="8"/>
    </row>
    <row r="686" ht="15.75" customHeight="1">
      <c r="A686" s="8"/>
    </row>
    <row r="687" ht="15.75" customHeight="1">
      <c r="A687" s="8"/>
    </row>
    <row r="688" ht="15.75" customHeight="1">
      <c r="A688" s="8"/>
    </row>
    <row r="689" ht="15.75" customHeight="1">
      <c r="A689" s="8"/>
    </row>
    <row r="690" ht="15.75" customHeight="1">
      <c r="A690" s="8"/>
    </row>
    <row r="691" ht="15.75" customHeight="1">
      <c r="A691" s="8"/>
    </row>
    <row r="692" ht="15.75" customHeight="1">
      <c r="A692" s="8"/>
    </row>
    <row r="693" ht="15.75" customHeight="1">
      <c r="A693" s="8"/>
    </row>
    <row r="694" ht="15.75" customHeight="1">
      <c r="A694" s="8"/>
    </row>
    <row r="695" ht="15.75" customHeight="1">
      <c r="A695" s="8"/>
    </row>
    <row r="696" ht="15.75" customHeight="1">
      <c r="A696" s="8"/>
    </row>
    <row r="697" ht="15.75" customHeight="1">
      <c r="A697" s="8"/>
    </row>
    <row r="698" ht="15.75" customHeight="1">
      <c r="A698" s="8"/>
    </row>
    <row r="699" ht="15.75" customHeight="1">
      <c r="A699" s="8"/>
    </row>
    <row r="700" ht="15.75" customHeight="1">
      <c r="A700" s="8"/>
    </row>
    <row r="701" ht="15.75" customHeight="1">
      <c r="A701" s="8"/>
    </row>
    <row r="702" ht="15.75" customHeight="1">
      <c r="A702" s="8"/>
    </row>
    <row r="703" ht="15.75" customHeight="1">
      <c r="A703" s="8"/>
    </row>
    <row r="704" ht="15.75" customHeight="1">
      <c r="A704" s="8"/>
    </row>
    <row r="705" ht="15.75" customHeight="1">
      <c r="A705" s="8"/>
    </row>
    <row r="706" ht="15.75" customHeight="1">
      <c r="A706" s="8"/>
    </row>
    <row r="707" ht="15.75" customHeight="1">
      <c r="A707" s="8"/>
    </row>
    <row r="708" ht="15.75" customHeight="1">
      <c r="A708" s="8"/>
    </row>
    <row r="709" ht="15.75" customHeight="1">
      <c r="A709" s="8"/>
    </row>
    <row r="710" ht="15.75" customHeight="1">
      <c r="A710" s="8"/>
    </row>
    <row r="711" ht="15.75" customHeight="1">
      <c r="A711" s="8"/>
    </row>
    <row r="712" ht="15.75" customHeight="1">
      <c r="A712" s="8"/>
    </row>
    <row r="713" ht="15.75" customHeight="1">
      <c r="A713" s="8"/>
    </row>
    <row r="714" ht="15.75" customHeight="1">
      <c r="A714" s="8"/>
    </row>
    <row r="715" ht="15.75" customHeight="1">
      <c r="A715" s="8"/>
    </row>
    <row r="716" ht="15.75" customHeight="1">
      <c r="A716" s="8"/>
    </row>
    <row r="717" ht="15.75" customHeight="1">
      <c r="A717" s="8"/>
    </row>
    <row r="718" ht="15.75" customHeight="1">
      <c r="A718" s="8"/>
    </row>
    <row r="719" ht="15.75" customHeight="1">
      <c r="A719" s="8"/>
    </row>
    <row r="720" ht="15.75" customHeight="1">
      <c r="A720" s="8"/>
    </row>
    <row r="721" ht="15.75" customHeight="1">
      <c r="A721" s="8"/>
    </row>
    <row r="722" ht="15.75" customHeight="1">
      <c r="A722" s="8"/>
    </row>
    <row r="723" ht="15.75" customHeight="1">
      <c r="A723" s="8"/>
    </row>
    <row r="724" ht="15.75" customHeight="1">
      <c r="A724" s="8"/>
    </row>
    <row r="725" ht="15.75" customHeight="1">
      <c r="A725" s="8"/>
    </row>
    <row r="726" ht="15.75" customHeight="1">
      <c r="A726" s="8"/>
    </row>
    <row r="727" ht="15.75" customHeight="1">
      <c r="A727" s="8"/>
    </row>
    <row r="728" ht="15.75" customHeight="1">
      <c r="A728" s="8"/>
    </row>
    <row r="729" ht="15.75" customHeight="1">
      <c r="A729" s="8"/>
    </row>
    <row r="730" ht="15.75" customHeight="1">
      <c r="A730" s="8"/>
    </row>
    <row r="731" ht="15.75" customHeight="1">
      <c r="A731" s="8"/>
    </row>
    <row r="732" ht="15.75" customHeight="1">
      <c r="A732" s="8"/>
    </row>
    <row r="733" ht="15.75" customHeight="1">
      <c r="A733" s="8"/>
    </row>
    <row r="734" ht="15.75" customHeight="1">
      <c r="A734" s="8"/>
    </row>
    <row r="735" ht="15.75" customHeight="1">
      <c r="A735" s="8"/>
    </row>
    <row r="736" ht="15.75" customHeight="1">
      <c r="A736" s="8"/>
    </row>
    <row r="737" ht="15.75" customHeight="1">
      <c r="A737" s="8"/>
    </row>
    <row r="738" ht="15.75" customHeight="1">
      <c r="A738" s="8"/>
    </row>
    <row r="739" ht="15.75" customHeight="1">
      <c r="A739" s="8"/>
    </row>
    <row r="740" ht="15.75" customHeight="1">
      <c r="A740" s="8"/>
    </row>
    <row r="741" ht="15.75" customHeight="1">
      <c r="A741" s="8"/>
    </row>
    <row r="742" ht="15.75" customHeight="1">
      <c r="A742" s="8"/>
    </row>
    <row r="743" ht="15.75" customHeight="1">
      <c r="A743" s="8"/>
    </row>
    <row r="744" ht="15.75" customHeight="1">
      <c r="A744" s="8"/>
    </row>
    <row r="745" ht="15.75" customHeight="1">
      <c r="A745" s="8"/>
    </row>
    <row r="746" ht="15.75" customHeight="1">
      <c r="A746" s="8"/>
    </row>
    <row r="747" ht="15.75" customHeight="1">
      <c r="A747" s="8"/>
    </row>
    <row r="748" ht="15.75" customHeight="1">
      <c r="A748" s="8"/>
    </row>
    <row r="749" ht="15.75" customHeight="1">
      <c r="A749" s="8"/>
    </row>
    <row r="750" ht="15.75" customHeight="1">
      <c r="A750" s="8"/>
    </row>
    <row r="751" ht="15.75" customHeight="1">
      <c r="A751" s="8"/>
    </row>
    <row r="752" ht="15.75" customHeight="1">
      <c r="A752" s="8"/>
    </row>
    <row r="753" ht="15.75" customHeight="1">
      <c r="A753" s="8"/>
    </row>
    <row r="754" ht="15.75" customHeight="1">
      <c r="A754" s="8"/>
    </row>
    <row r="755" ht="15.75" customHeight="1">
      <c r="A755" s="8"/>
    </row>
    <row r="756" ht="15.75" customHeight="1">
      <c r="A756" s="8"/>
    </row>
    <row r="757" ht="15.75" customHeight="1">
      <c r="A757" s="8"/>
    </row>
    <row r="758" ht="15.75" customHeight="1">
      <c r="A758" s="8"/>
    </row>
    <row r="759" ht="15.75" customHeight="1">
      <c r="A759" s="8"/>
    </row>
    <row r="760" ht="15.75" customHeight="1">
      <c r="A760" s="8"/>
    </row>
    <row r="761" ht="15.75" customHeight="1">
      <c r="A761" s="8"/>
    </row>
    <row r="762" ht="15.75" customHeight="1">
      <c r="A762" s="8"/>
    </row>
    <row r="763" ht="15.75" customHeight="1">
      <c r="A763" s="8"/>
    </row>
    <row r="764" ht="15.75" customHeight="1">
      <c r="A764" s="8"/>
    </row>
    <row r="765" ht="15.75" customHeight="1">
      <c r="A765" s="8"/>
    </row>
    <row r="766" ht="15.75" customHeight="1">
      <c r="A766" s="8"/>
    </row>
    <row r="767" ht="15.75" customHeight="1">
      <c r="A767" s="8"/>
    </row>
    <row r="768" ht="15.75" customHeight="1">
      <c r="A768" s="8"/>
    </row>
    <row r="769" ht="15.75" customHeight="1">
      <c r="A769" s="8"/>
    </row>
    <row r="770" ht="15.75" customHeight="1">
      <c r="A770" s="8"/>
    </row>
    <row r="771" ht="15.75" customHeight="1">
      <c r="A771" s="8"/>
    </row>
    <row r="772" ht="15.75" customHeight="1">
      <c r="A772" s="8"/>
    </row>
    <row r="773" ht="15.75" customHeight="1">
      <c r="A773" s="8"/>
    </row>
    <row r="774" ht="15.75" customHeight="1">
      <c r="A774" s="8"/>
    </row>
    <row r="775" ht="15.75" customHeight="1">
      <c r="A775" s="8"/>
    </row>
    <row r="776" ht="15.75" customHeight="1">
      <c r="A776" s="8"/>
    </row>
    <row r="777" ht="15.75" customHeight="1">
      <c r="A777" s="8"/>
    </row>
    <row r="778" ht="15.75" customHeight="1">
      <c r="A778" s="8"/>
    </row>
    <row r="779" ht="15.75" customHeight="1">
      <c r="A779" s="8"/>
    </row>
    <row r="780" ht="15.75" customHeight="1">
      <c r="A780" s="8"/>
    </row>
    <row r="781" ht="15.75" customHeight="1">
      <c r="A781" s="8"/>
    </row>
    <row r="782" ht="15.75" customHeight="1">
      <c r="A782" s="8"/>
    </row>
    <row r="783" ht="15.75" customHeight="1">
      <c r="A783" s="8"/>
    </row>
    <row r="784" ht="15.75" customHeight="1">
      <c r="A784" s="8"/>
    </row>
    <row r="785" ht="15.75" customHeight="1">
      <c r="A785" s="8"/>
    </row>
    <row r="786" ht="15.75" customHeight="1">
      <c r="A786" s="8"/>
    </row>
    <row r="787" ht="15.75" customHeight="1">
      <c r="A787" s="8"/>
    </row>
    <row r="788" ht="15.75" customHeight="1">
      <c r="A788" s="8"/>
    </row>
    <row r="789" ht="15.75" customHeight="1">
      <c r="A789" s="8"/>
    </row>
    <row r="790" ht="15.75" customHeight="1">
      <c r="A790" s="8"/>
    </row>
    <row r="791" ht="15.75" customHeight="1">
      <c r="A791" s="8"/>
    </row>
    <row r="792" ht="15.75" customHeight="1">
      <c r="A792" s="8"/>
    </row>
    <row r="793" ht="15.75" customHeight="1">
      <c r="A793" s="8"/>
    </row>
    <row r="794" ht="15.75" customHeight="1">
      <c r="A794" s="8"/>
    </row>
    <row r="795" ht="15.75" customHeight="1">
      <c r="A795" s="8"/>
    </row>
    <row r="796" ht="15.75" customHeight="1">
      <c r="A796" s="8"/>
    </row>
    <row r="797" ht="15.75" customHeight="1">
      <c r="A797" s="8"/>
    </row>
    <row r="798" ht="15.75" customHeight="1">
      <c r="A798" s="8"/>
    </row>
    <row r="799" ht="15.75" customHeight="1">
      <c r="A799" s="8"/>
    </row>
    <row r="800" ht="15.75" customHeight="1">
      <c r="A800" s="8"/>
    </row>
    <row r="801" ht="15.75" customHeight="1">
      <c r="A801" s="8"/>
    </row>
    <row r="802" ht="15.75" customHeight="1">
      <c r="A802" s="8"/>
    </row>
    <row r="803" ht="15.75" customHeight="1">
      <c r="A803" s="8"/>
    </row>
    <row r="804" ht="15.75" customHeight="1">
      <c r="A804" s="8"/>
    </row>
    <row r="805" ht="15.75" customHeight="1">
      <c r="A805" s="8"/>
    </row>
    <row r="806" ht="15.75" customHeight="1">
      <c r="A806" s="8"/>
    </row>
    <row r="807" ht="15.75" customHeight="1">
      <c r="A807" s="8"/>
    </row>
    <row r="808" ht="15.75" customHeight="1">
      <c r="A808" s="8"/>
    </row>
    <row r="809" ht="15.75" customHeight="1">
      <c r="A809" s="8"/>
    </row>
    <row r="810" ht="15.75" customHeight="1">
      <c r="A810" s="8"/>
    </row>
    <row r="811" ht="15.75" customHeight="1">
      <c r="A811" s="8"/>
    </row>
    <row r="812" ht="15.75" customHeight="1">
      <c r="A812" s="8"/>
    </row>
    <row r="813" ht="15.75" customHeight="1">
      <c r="A813" s="8"/>
    </row>
    <row r="814" ht="15.75" customHeight="1">
      <c r="A814" s="8"/>
    </row>
    <row r="815" ht="15.75" customHeight="1">
      <c r="A815" s="8"/>
    </row>
    <row r="816" ht="15.75" customHeight="1">
      <c r="A816" s="8"/>
    </row>
    <row r="817" ht="15.75" customHeight="1">
      <c r="A817" s="8"/>
    </row>
    <row r="818" ht="15.75" customHeight="1">
      <c r="A818" s="8"/>
    </row>
    <row r="819" ht="15.75" customHeight="1">
      <c r="A819" s="8"/>
    </row>
    <row r="820" ht="15.75" customHeight="1">
      <c r="A820" s="8"/>
    </row>
    <row r="821" ht="15.75" customHeight="1">
      <c r="A821" s="8"/>
    </row>
    <row r="822" ht="15.75" customHeight="1">
      <c r="A822" s="8"/>
    </row>
    <row r="823" ht="15.75" customHeight="1">
      <c r="A823" s="8"/>
    </row>
    <row r="824" ht="15.75" customHeight="1">
      <c r="A824" s="8"/>
    </row>
    <row r="825" ht="15.75" customHeight="1">
      <c r="A825" s="8"/>
    </row>
    <row r="826" ht="15.75" customHeight="1">
      <c r="A826" s="8"/>
    </row>
    <row r="827" ht="15.75" customHeight="1">
      <c r="A827" s="8"/>
    </row>
    <row r="828" ht="15.75" customHeight="1">
      <c r="A828" s="8"/>
    </row>
    <row r="829" ht="15.75" customHeight="1">
      <c r="A829" s="8"/>
    </row>
    <row r="830" ht="15.75" customHeight="1">
      <c r="A830" s="8"/>
    </row>
    <row r="831" ht="15.75" customHeight="1">
      <c r="A831" s="8"/>
    </row>
    <row r="832" ht="15.75" customHeight="1">
      <c r="A832" s="8"/>
    </row>
    <row r="833" ht="15.75" customHeight="1">
      <c r="A833" s="8"/>
    </row>
    <row r="834" ht="15.75" customHeight="1">
      <c r="A834" s="8"/>
    </row>
    <row r="835" ht="15.75" customHeight="1">
      <c r="A835" s="8"/>
    </row>
    <row r="836" ht="15.75" customHeight="1">
      <c r="A836" s="8"/>
    </row>
    <row r="837" ht="15.75" customHeight="1">
      <c r="A837" s="8"/>
    </row>
    <row r="838" ht="15.75" customHeight="1">
      <c r="A838" s="8"/>
    </row>
    <row r="839" ht="15.75" customHeight="1">
      <c r="A839" s="8"/>
    </row>
    <row r="840" ht="15.75" customHeight="1">
      <c r="A840" s="8"/>
    </row>
    <row r="841" ht="15.75" customHeight="1">
      <c r="A841" s="8"/>
    </row>
    <row r="842" ht="15.75" customHeight="1">
      <c r="A842" s="8"/>
    </row>
    <row r="843" ht="15.75" customHeight="1">
      <c r="A843" s="8"/>
    </row>
    <row r="844" ht="15.75" customHeight="1">
      <c r="A844" s="8"/>
    </row>
    <row r="845" ht="15.75" customHeight="1">
      <c r="A845" s="8"/>
    </row>
    <row r="846" ht="15.75" customHeight="1">
      <c r="A846" s="8"/>
    </row>
    <row r="847" ht="15.75" customHeight="1">
      <c r="A847" s="8"/>
    </row>
    <row r="848" ht="15.75" customHeight="1">
      <c r="A848" s="8"/>
    </row>
    <row r="849" ht="15.75" customHeight="1">
      <c r="A849" s="8"/>
    </row>
    <row r="850" ht="15.75" customHeight="1">
      <c r="A850" s="8"/>
    </row>
    <row r="851" ht="15.75" customHeight="1">
      <c r="A851" s="8"/>
    </row>
    <row r="852" ht="15.75" customHeight="1">
      <c r="A852" s="8"/>
    </row>
    <row r="853" ht="15.75" customHeight="1">
      <c r="A853" s="8"/>
    </row>
    <row r="854" ht="15.75" customHeight="1">
      <c r="A854" s="8"/>
    </row>
    <row r="855" ht="15.75" customHeight="1">
      <c r="A855" s="8"/>
    </row>
    <row r="856" ht="15.75" customHeight="1">
      <c r="A856" s="8"/>
    </row>
    <row r="857" ht="15.75" customHeight="1">
      <c r="A857" s="8"/>
    </row>
    <row r="858" ht="15.75" customHeight="1">
      <c r="A858" s="8"/>
    </row>
    <row r="859" ht="15.75" customHeight="1">
      <c r="A859" s="8"/>
    </row>
    <row r="860" ht="15.75" customHeight="1">
      <c r="A860" s="8"/>
    </row>
    <row r="861" ht="15.75" customHeight="1">
      <c r="A861" s="8"/>
    </row>
    <row r="862" ht="15.75" customHeight="1">
      <c r="A862" s="8"/>
    </row>
    <row r="863" ht="15.75" customHeight="1">
      <c r="A863" s="8"/>
    </row>
    <row r="864" ht="15.75" customHeight="1">
      <c r="A864" s="8"/>
    </row>
    <row r="865" ht="15.75" customHeight="1">
      <c r="A865" s="8"/>
    </row>
    <row r="866" ht="15.75" customHeight="1">
      <c r="A866" s="8"/>
    </row>
    <row r="867" ht="15.75" customHeight="1">
      <c r="A867" s="8"/>
    </row>
    <row r="868" ht="15.75" customHeight="1">
      <c r="A868" s="8"/>
    </row>
    <row r="869" ht="15.75" customHeight="1">
      <c r="A869" s="8"/>
    </row>
    <row r="870" ht="15.75" customHeight="1">
      <c r="A870" s="8"/>
    </row>
    <row r="871" ht="15.75" customHeight="1">
      <c r="A871" s="8"/>
    </row>
    <row r="872" ht="15.75" customHeight="1">
      <c r="A872" s="8"/>
    </row>
    <row r="873" ht="15.75" customHeight="1">
      <c r="A873" s="8"/>
    </row>
    <row r="874" ht="15.75" customHeight="1">
      <c r="A874" s="8"/>
    </row>
    <row r="875" ht="15.75" customHeight="1">
      <c r="A875" s="8"/>
    </row>
    <row r="876" ht="15.75" customHeight="1">
      <c r="A876" s="8"/>
    </row>
    <row r="877" ht="15.75" customHeight="1">
      <c r="A877" s="8"/>
    </row>
    <row r="878" ht="15.75" customHeight="1">
      <c r="A878" s="8"/>
    </row>
    <row r="879" ht="15.75" customHeight="1">
      <c r="A879" s="8"/>
    </row>
    <row r="880" ht="15.75" customHeight="1">
      <c r="A880" s="8"/>
    </row>
    <row r="881" ht="15.75" customHeight="1">
      <c r="A881" s="8"/>
    </row>
    <row r="882" ht="15.75" customHeight="1">
      <c r="A882" s="8"/>
    </row>
    <row r="883" ht="15.75" customHeight="1">
      <c r="A883" s="8"/>
    </row>
    <row r="884" ht="15.75" customHeight="1">
      <c r="A884" s="8"/>
    </row>
    <row r="885" ht="15.75" customHeight="1">
      <c r="A885" s="8"/>
    </row>
    <row r="886" ht="15.75" customHeight="1">
      <c r="A886" s="8"/>
    </row>
    <row r="887" ht="15.75" customHeight="1">
      <c r="A887" s="8"/>
    </row>
    <row r="888" ht="15.75" customHeight="1">
      <c r="A888" s="8"/>
    </row>
    <row r="889" ht="15.75" customHeight="1">
      <c r="A889" s="8"/>
    </row>
    <row r="890" ht="15.75" customHeight="1">
      <c r="A890" s="8"/>
    </row>
    <row r="891" ht="15.75" customHeight="1">
      <c r="A891" s="8"/>
    </row>
    <row r="892" ht="15.75" customHeight="1">
      <c r="A892" s="8"/>
    </row>
    <row r="893" ht="15.75" customHeight="1">
      <c r="A893" s="8"/>
    </row>
    <row r="894" ht="15.75" customHeight="1">
      <c r="A894" s="8"/>
    </row>
    <row r="895" ht="15.75" customHeight="1">
      <c r="A895" s="8"/>
    </row>
    <row r="896" ht="15.75" customHeight="1">
      <c r="A896" s="8"/>
    </row>
    <row r="897" ht="15.75" customHeight="1">
      <c r="A897" s="8"/>
    </row>
    <row r="898" ht="15.75" customHeight="1">
      <c r="A898" s="8"/>
    </row>
    <row r="899" ht="15.75" customHeight="1">
      <c r="A899" s="8"/>
    </row>
    <row r="900" ht="15.75" customHeight="1">
      <c r="A900" s="8"/>
    </row>
    <row r="901" ht="15.75" customHeight="1">
      <c r="A901" s="8"/>
    </row>
    <row r="902" ht="15.75" customHeight="1">
      <c r="A902" s="8"/>
    </row>
    <row r="903" ht="15.75" customHeight="1">
      <c r="A903" s="8"/>
    </row>
    <row r="904" ht="15.75" customHeight="1">
      <c r="A904" s="8"/>
    </row>
    <row r="905" ht="15.75" customHeight="1">
      <c r="A905" s="8"/>
    </row>
    <row r="906" ht="15.75" customHeight="1">
      <c r="A906" s="8"/>
    </row>
    <row r="907" ht="15.75" customHeight="1">
      <c r="A907" s="8"/>
    </row>
    <row r="908" ht="15.75" customHeight="1">
      <c r="A908" s="8"/>
    </row>
    <row r="909" ht="15.75" customHeight="1">
      <c r="A909" s="8"/>
    </row>
    <row r="910" ht="15.75" customHeight="1">
      <c r="A910" s="8"/>
    </row>
    <row r="911" ht="15.75" customHeight="1">
      <c r="A911" s="8"/>
    </row>
    <row r="912" ht="15.75" customHeight="1">
      <c r="A912" s="8"/>
    </row>
    <row r="913" ht="15.75" customHeight="1">
      <c r="A913" s="8"/>
    </row>
    <row r="914" ht="15.75" customHeight="1">
      <c r="A914" s="8"/>
    </row>
    <row r="915" ht="15.75" customHeight="1">
      <c r="A915" s="8"/>
    </row>
    <row r="916" ht="15.75" customHeight="1">
      <c r="A916" s="8"/>
    </row>
    <row r="917" ht="15.75" customHeight="1">
      <c r="A917" s="8"/>
    </row>
    <row r="918" ht="15.75" customHeight="1">
      <c r="A918" s="8"/>
    </row>
    <row r="919" ht="15.75" customHeight="1">
      <c r="A919" s="8"/>
    </row>
    <row r="920" ht="15.75" customHeight="1">
      <c r="A920" s="8"/>
    </row>
    <row r="921" ht="15.75" customHeight="1">
      <c r="A921" s="8"/>
    </row>
    <row r="922" ht="15.75" customHeight="1">
      <c r="A922" s="8"/>
    </row>
    <row r="923" ht="15.75" customHeight="1">
      <c r="A923" s="8"/>
    </row>
    <row r="924" ht="15.75" customHeight="1">
      <c r="A924" s="8"/>
    </row>
    <row r="925" ht="15.75" customHeight="1">
      <c r="A925" s="8"/>
    </row>
    <row r="926" ht="15.75" customHeight="1">
      <c r="A926" s="8"/>
    </row>
    <row r="927" ht="15.75" customHeight="1">
      <c r="A927" s="8"/>
    </row>
    <row r="928" ht="15.75" customHeight="1">
      <c r="A928" s="8"/>
    </row>
    <row r="929" ht="15.75" customHeight="1">
      <c r="A929" s="8"/>
    </row>
    <row r="930" ht="15.75" customHeight="1">
      <c r="A930" s="8"/>
    </row>
    <row r="931" ht="15.75" customHeight="1">
      <c r="A931" s="8"/>
    </row>
    <row r="932" ht="15.75" customHeight="1">
      <c r="A932" s="8"/>
    </row>
    <row r="933" ht="15.75" customHeight="1">
      <c r="A933" s="8"/>
    </row>
    <row r="934" ht="15.75" customHeight="1">
      <c r="A934" s="8"/>
    </row>
    <row r="935" ht="15.75" customHeight="1">
      <c r="A935" s="8"/>
    </row>
    <row r="936" ht="15.75" customHeight="1">
      <c r="A936" s="8"/>
    </row>
    <row r="937" ht="15.75" customHeight="1">
      <c r="A937" s="8"/>
    </row>
    <row r="938" ht="15.75" customHeight="1">
      <c r="A938" s="8"/>
    </row>
    <row r="939" ht="15.75" customHeight="1">
      <c r="A939" s="8"/>
    </row>
    <row r="940" ht="15.75" customHeight="1">
      <c r="A940" s="8"/>
    </row>
    <row r="941" ht="15.75" customHeight="1">
      <c r="A941" s="8"/>
    </row>
    <row r="942" ht="15.75" customHeight="1">
      <c r="A942" s="8"/>
    </row>
    <row r="943" ht="15.75" customHeight="1">
      <c r="A943" s="8"/>
    </row>
    <row r="944" ht="15.75" customHeight="1">
      <c r="A944" s="8"/>
    </row>
    <row r="945" ht="15.75" customHeight="1">
      <c r="A945" s="8"/>
    </row>
    <row r="946" ht="15.75" customHeight="1">
      <c r="A946" s="8"/>
    </row>
    <row r="947" ht="15.75" customHeight="1">
      <c r="A947" s="8"/>
    </row>
    <row r="948" ht="15.75" customHeight="1">
      <c r="A948" s="8"/>
    </row>
    <row r="949" ht="15.75" customHeight="1">
      <c r="A949" s="8"/>
    </row>
    <row r="950" ht="15.75" customHeight="1">
      <c r="A950" s="8"/>
    </row>
    <row r="951" ht="15.75" customHeight="1">
      <c r="A951" s="8"/>
    </row>
    <row r="952" ht="15.75" customHeight="1">
      <c r="A952" s="8"/>
    </row>
    <row r="953" ht="15.75" customHeight="1">
      <c r="A953" s="8"/>
    </row>
    <row r="954" ht="15.75" customHeight="1">
      <c r="A954" s="8"/>
    </row>
    <row r="955" ht="15.75" customHeight="1">
      <c r="A955" s="8"/>
    </row>
    <row r="956" ht="15.75" customHeight="1">
      <c r="A956" s="8"/>
    </row>
    <row r="957" ht="15.75" customHeight="1">
      <c r="A957" s="8"/>
    </row>
    <row r="958" ht="15.75" customHeight="1">
      <c r="A958" s="8"/>
    </row>
    <row r="959" ht="15.75" customHeight="1">
      <c r="A959" s="8"/>
    </row>
    <row r="960" ht="15.75" customHeight="1">
      <c r="A960" s="8"/>
    </row>
    <row r="961" ht="15.75" customHeight="1">
      <c r="A961" s="8"/>
    </row>
    <row r="962" ht="15.75" customHeight="1">
      <c r="A962" s="8"/>
    </row>
    <row r="963" ht="15.75" customHeight="1">
      <c r="A963" s="8"/>
    </row>
    <row r="964" ht="15.75" customHeight="1">
      <c r="A964" s="8"/>
    </row>
    <row r="965" ht="15.75" customHeight="1">
      <c r="A965" s="8"/>
    </row>
    <row r="966" ht="15.75" customHeight="1">
      <c r="A966" s="8"/>
    </row>
    <row r="967" ht="15.75" customHeight="1">
      <c r="A967" s="8"/>
    </row>
    <row r="968" ht="15.75" customHeight="1">
      <c r="A968" s="8"/>
    </row>
    <row r="969" ht="15.75" customHeight="1">
      <c r="A969" s="8"/>
    </row>
    <row r="970" ht="15.75" customHeight="1">
      <c r="A970" s="8"/>
    </row>
    <row r="971" ht="15.75" customHeight="1">
      <c r="A971" s="8"/>
    </row>
    <row r="972" ht="15.75" customHeight="1">
      <c r="A972" s="8"/>
    </row>
    <row r="973" ht="15.75" customHeight="1">
      <c r="A973" s="8"/>
    </row>
    <row r="974" ht="15.75" customHeight="1">
      <c r="A974" s="8"/>
    </row>
    <row r="975" ht="15.75" customHeight="1">
      <c r="A975" s="8"/>
    </row>
    <row r="976" ht="15.75" customHeight="1">
      <c r="A976" s="8"/>
    </row>
    <row r="977" ht="15.75" customHeight="1">
      <c r="A977" s="8"/>
    </row>
    <row r="978" ht="15.75" customHeight="1">
      <c r="A978" s="8"/>
    </row>
    <row r="979" ht="15.75" customHeight="1">
      <c r="A979" s="8"/>
    </row>
    <row r="980" ht="15.75" customHeight="1">
      <c r="A980" s="8"/>
    </row>
    <row r="981" ht="15.75" customHeight="1">
      <c r="A981" s="8"/>
    </row>
    <row r="982" ht="15.75" customHeight="1">
      <c r="A982" s="8"/>
    </row>
    <row r="983" ht="15.75" customHeight="1">
      <c r="A983" s="8"/>
    </row>
    <row r="984" ht="15.75" customHeight="1">
      <c r="A984" s="8"/>
    </row>
    <row r="985" ht="15.75" customHeight="1">
      <c r="A985" s="8"/>
    </row>
    <row r="986" ht="15.75" customHeight="1">
      <c r="A986" s="8"/>
    </row>
    <row r="987" ht="15.75" customHeight="1">
      <c r="A987" s="8"/>
    </row>
    <row r="988" ht="15.75" customHeight="1">
      <c r="A988" s="8"/>
    </row>
    <row r="989" ht="15.75" customHeight="1">
      <c r="A989" s="8"/>
    </row>
    <row r="990" ht="15.75" customHeight="1">
      <c r="A990" s="8"/>
    </row>
    <row r="991" ht="15.75" customHeight="1">
      <c r="A991" s="8"/>
    </row>
    <row r="992" ht="15.75" customHeight="1">
      <c r="A992" s="8"/>
    </row>
    <row r="993" ht="15.75" customHeight="1">
      <c r="A993" s="8"/>
    </row>
    <row r="994" ht="15.75" customHeight="1">
      <c r="A994" s="8"/>
    </row>
    <row r="995" ht="15.75" customHeight="1">
      <c r="A995" s="8"/>
    </row>
    <row r="996" ht="15.75" customHeight="1">
      <c r="A996" s="8"/>
    </row>
    <row r="997" ht="15.75" customHeight="1">
      <c r="A997" s="8"/>
    </row>
    <row r="998" ht="15.75" customHeight="1">
      <c r="A998" s="8"/>
    </row>
    <row r="999" ht="15.75" customHeight="1">
      <c r="A999" s="8"/>
    </row>
    <row r="1000" ht="15.75" customHeight="1">
      <c r="A1000" s="8"/>
    </row>
  </sheetData>
  <dataValidations>
    <dataValidation type="list" allowBlank="1" showErrorMessage="1" sqref="A2:A1000">
      <formula1>dict!$A$2:$A$1007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32</v>
      </c>
      <c r="B1" s="1" t="s">
        <v>33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34</v>
      </c>
    </row>
    <row r="2" ht="15.75" customHeight="1">
      <c r="A2" s="4" t="s">
        <v>31</v>
      </c>
      <c r="B2" s="4">
        <v>1.0</v>
      </c>
      <c r="C2" s="4">
        <v>0.0</v>
      </c>
      <c r="D2" s="4">
        <v>0.0</v>
      </c>
      <c r="E2" s="4">
        <v>0.0</v>
      </c>
      <c r="F2" s="4">
        <v>0.0</v>
      </c>
    </row>
    <row r="3" ht="15.75" customHeight="1">
      <c r="A3" s="1" t="s">
        <v>35</v>
      </c>
      <c r="B3" s="4">
        <v>1.0</v>
      </c>
      <c r="C3" s="4">
        <v>2.0</v>
      </c>
      <c r="D3" s="4">
        <v>24.0</v>
      </c>
      <c r="E3" s="4">
        <v>1.0</v>
      </c>
      <c r="F3" s="4">
        <v>110.0</v>
      </c>
      <c r="G3" s="4">
        <f t="shared" ref="G3:G62" si="1">4*C3 + 4*D3 + 9*E3</f>
        <v>113</v>
      </c>
    </row>
    <row r="4" ht="15.75" customHeight="1">
      <c r="A4" s="9" t="s">
        <v>36</v>
      </c>
      <c r="B4" s="7">
        <v>1.0</v>
      </c>
      <c r="C4" s="7">
        <v>19.1</v>
      </c>
      <c r="D4" s="7">
        <v>20.0</v>
      </c>
      <c r="E4" s="7">
        <v>10.9</v>
      </c>
      <c r="F4" s="7">
        <v>234.0</v>
      </c>
      <c r="G4" s="4">
        <f t="shared" si="1"/>
        <v>254.5</v>
      </c>
    </row>
    <row r="5" ht="15.75" customHeight="1">
      <c r="A5" s="1" t="s">
        <v>37</v>
      </c>
      <c r="B5" s="4">
        <v>100.0</v>
      </c>
      <c r="C5" s="4">
        <v>78.0</v>
      </c>
      <c r="D5" s="4">
        <v>8.8</v>
      </c>
      <c r="E5" s="4">
        <v>0.0</v>
      </c>
      <c r="F5" s="4">
        <v>350.0</v>
      </c>
      <c r="G5" s="4">
        <f t="shared" si="1"/>
        <v>347.2</v>
      </c>
    </row>
    <row r="6" ht="15.75" customHeight="1">
      <c r="A6" s="1" t="s">
        <v>27</v>
      </c>
      <c r="B6" s="4">
        <v>1.0</v>
      </c>
      <c r="C6" s="4">
        <v>0.0</v>
      </c>
      <c r="D6" s="4">
        <v>5.2</v>
      </c>
      <c r="E6" s="4">
        <v>4.3</v>
      </c>
      <c r="F6" s="4">
        <v>59.0</v>
      </c>
      <c r="G6" s="4">
        <f t="shared" si="1"/>
        <v>59.5</v>
      </c>
    </row>
    <row r="7" ht="15.75" customHeight="1">
      <c r="A7" s="1" t="s">
        <v>38</v>
      </c>
      <c r="B7" s="4">
        <v>1.0</v>
      </c>
      <c r="C7" s="4">
        <v>0.0</v>
      </c>
      <c r="D7" s="4">
        <v>4.9</v>
      </c>
      <c r="E7" s="4">
        <v>6.0</v>
      </c>
      <c r="F7" s="4">
        <v>74.0</v>
      </c>
      <c r="G7" s="4">
        <f t="shared" si="1"/>
        <v>73.6</v>
      </c>
    </row>
    <row r="8" ht="15.75" customHeight="1">
      <c r="A8" s="9" t="s">
        <v>39</v>
      </c>
      <c r="B8" s="7">
        <v>100.0</v>
      </c>
      <c r="C8" s="7">
        <v>20.1</v>
      </c>
      <c r="D8" s="7">
        <v>1.6</v>
      </c>
      <c r="E8" s="7">
        <v>0.0</v>
      </c>
      <c r="F8" s="7">
        <v>86.0</v>
      </c>
      <c r="G8" s="4">
        <f t="shared" si="1"/>
        <v>86.8</v>
      </c>
    </row>
    <row r="9" ht="15.75" customHeight="1">
      <c r="A9" s="1" t="s">
        <v>15</v>
      </c>
      <c r="B9" s="4">
        <v>1.0</v>
      </c>
      <c r="C9" s="4">
        <v>0.5</v>
      </c>
      <c r="D9" s="4">
        <v>8.5</v>
      </c>
      <c r="E9" s="4">
        <v>6.5</v>
      </c>
      <c r="F9" s="4">
        <v>97.0</v>
      </c>
      <c r="G9" s="4">
        <f t="shared" si="1"/>
        <v>94.5</v>
      </c>
    </row>
    <row r="10" ht="15.75" customHeight="1">
      <c r="A10" s="1" t="s">
        <v>24</v>
      </c>
      <c r="B10" s="4">
        <v>100.0</v>
      </c>
      <c r="C10" s="4">
        <v>23.4</v>
      </c>
      <c r="D10" s="4">
        <v>1.0</v>
      </c>
      <c r="E10" s="4">
        <v>0.5</v>
      </c>
      <c r="F10" s="4">
        <v>92.0</v>
      </c>
      <c r="G10" s="4">
        <f t="shared" si="1"/>
        <v>102.1</v>
      </c>
    </row>
    <row r="11" ht="15.75" customHeight="1">
      <c r="A11" s="1" t="s">
        <v>17</v>
      </c>
      <c r="B11" s="4">
        <v>100.0</v>
      </c>
      <c r="C11" s="4">
        <v>9.34</v>
      </c>
      <c r="D11" s="4">
        <v>1.1</v>
      </c>
      <c r="E11" s="4">
        <v>0.1</v>
      </c>
      <c r="F11" s="4">
        <v>40.0</v>
      </c>
      <c r="G11" s="4">
        <f t="shared" si="1"/>
        <v>42.66</v>
      </c>
    </row>
    <row r="12" ht="15.75" customHeight="1">
      <c r="A12" s="9" t="s">
        <v>40</v>
      </c>
      <c r="B12" s="7">
        <v>100.0</v>
      </c>
      <c r="C12" s="7">
        <v>10.0</v>
      </c>
      <c r="D12" s="7">
        <v>0.0</v>
      </c>
      <c r="E12" s="7">
        <v>0.0</v>
      </c>
      <c r="F12" s="7">
        <v>41.0</v>
      </c>
      <c r="G12" s="4">
        <f t="shared" si="1"/>
        <v>40</v>
      </c>
    </row>
    <row r="13" ht="15.75" customHeight="1">
      <c r="A13" s="9" t="s">
        <v>26</v>
      </c>
      <c r="B13" s="7">
        <v>100.0</v>
      </c>
      <c r="C13" s="7">
        <v>72.0</v>
      </c>
      <c r="D13" s="7">
        <v>16.0</v>
      </c>
      <c r="E13" s="7">
        <v>4.0</v>
      </c>
      <c r="F13" s="7">
        <v>397.0</v>
      </c>
      <c r="G13" s="4">
        <f t="shared" si="1"/>
        <v>388</v>
      </c>
    </row>
    <row r="14" ht="15.75" customHeight="1">
      <c r="A14" s="1" t="s">
        <v>41</v>
      </c>
      <c r="B14" s="4">
        <v>100.0</v>
      </c>
      <c r="C14" s="4">
        <v>6.0</v>
      </c>
      <c r="D14" s="4">
        <v>1.0</v>
      </c>
      <c r="E14" s="4">
        <v>0.3</v>
      </c>
      <c r="F14" s="4">
        <v>31.0</v>
      </c>
      <c r="G14" s="4">
        <f t="shared" si="1"/>
        <v>30.7</v>
      </c>
    </row>
    <row r="15" ht="15.75" customHeight="1">
      <c r="A15" s="1" t="s">
        <v>42</v>
      </c>
      <c r="B15" s="4">
        <v>100.0</v>
      </c>
      <c r="C15" s="4">
        <v>51.8</v>
      </c>
      <c r="D15" s="4">
        <v>14.7</v>
      </c>
      <c r="E15" s="4">
        <v>14.5</v>
      </c>
      <c r="F15" s="4">
        <v>384.0</v>
      </c>
      <c r="G15" s="4">
        <f t="shared" si="1"/>
        <v>396.5</v>
      </c>
    </row>
    <row r="16" ht="15.75" customHeight="1">
      <c r="A16" s="9" t="s">
        <v>43</v>
      </c>
      <c r="B16" s="7">
        <v>100.0</v>
      </c>
      <c r="C16" s="7">
        <v>63.0</v>
      </c>
      <c r="D16" s="7">
        <v>9.0</v>
      </c>
      <c r="E16" s="7">
        <v>15.0</v>
      </c>
      <c r="F16" s="7">
        <v>435.0</v>
      </c>
      <c r="G16" s="4">
        <f t="shared" si="1"/>
        <v>423</v>
      </c>
    </row>
    <row r="17" ht="15.75" customHeight="1">
      <c r="A17" s="9" t="s">
        <v>23</v>
      </c>
      <c r="B17" s="7">
        <v>100.0</v>
      </c>
      <c r="C17" s="7">
        <v>80.0</v>
      </c>
      <c r="D17" s="7">
        <v>0.0</v>
      </c>
      <c r="E17" s="7">
        <v>0.0</v>
      </c>
      <c r="F17" s="7">
        <v>320.0</v>
      </c>
      <c r="G17" s="4">
        <f t="shared" si="1"/>
        <v>320</v>
      </c>
    </row>
    <row r="18" ht="15.75" customHeight="1">
      <c r="A18" s="9" t="s">
        <v>44</v>
      </c>
      <c r="B18" s="7">
        <v>4.0</v>
      </c>
      <c r="C18" s="7">
        <v>0.0</v>
      </c>
      <c r="D18" s="7">
        <v>0.0</v>
      </c>
      <c r="E18" s="7">
        <v>2.0</v>
      </c>
      <c r="F18" s="7">
        <v>15.0</v>
      </c>
      <c r="G18" s="4">
        <f t="shared" si="1"/>
        <v>18</v>
      </c>
    </row>
    <row r="19" ht="15.75" customHeight="1">
      <c r="A19" s="1" t="s">
        <v>19</v>
      </c>
      <c r="B19" s="4">
        <v>100.0</v>
      </c>
      <c r="C19" s="4">
        <v>0.0</v>
      </c>
      <c r="D19" s="4">
        <v>25.0</v>
      </c>
      <c r="E19" s="4">
        <v>2.5</v>
      </c>
      <c r="F19" s="4">
        <v>120.0</v>
      </c>
      <c r="G19" s="4">
        <f t="shared" si="1"/>
        <v>122.5</v>
      </c>
    </row>
    <row r="20" ht="15.75" customHeight="1">
      <c r="A20" s="9" t="s">
        <v>45</v>
      </c>
      <c r="B20" s="7">
        <v>1.0</v>
      </c>
      <c r="C20" s="7">
        <v>17.0</v>
      </c>
      <c r="D20" s="7">
        <v>21.0</v>
      </c>
      <c r="E20" s="7">
        <v>14.0</v>
      </c>
      <c r="F20" s="3">
        <v>276.0</v>
      </c>
      <c r="G20" s="4">
        <f t="shared" si="1"/>
        <v>278</v>
      </c>
    </row>
    <row r="21" ht="15.75" customHeight="1">
      <c r="A21" s="9" t="s">
        <v>46</v>
      </c>
      <c r="B21" s="7">
        <v>1.0</v>
      </c>
      <c r="C21" s="7">
        <v>21.7</v>
      </c>
      <c r="D21" s="7">
        <v>15.0</v>
      </c>
      <c r="E21" s="7">
        <v>10.0</v>
      </c>
      <c r="F21" s="7">
        <v>212.0</v>
      </c>
      <c r="G21" s="4">
        <f t="shared" si="1"/>
        <v>236.8</v>
      </c>
    </row>
    <row r="22" ht="15.75" customHeight="1">
      <c r="A22" s="9" t="s">
        <v>47</v>
      </c>
      <c r="B22" s="7">
        <v>1.0</v>
      </c>
      <c r="C22" s="7">
        <v>16.0</v>
      </c>
      <c r="D22" s="7">
        <v>18.0</v>
      </c>
      <c r="E22" s="7">
        <v>3.2</v>
      </c>
      <c r="F22" s="7">
        <v>185.0</v>
      </c>
      <c r="G22" s="4">
        <f t="shared" si="1"/>
        <v>164.8</v>
      </c>
    </row>
    <row r="23" ht="15.75" customHeight="1">
      <c r="A23" s="9" t="s">
        <v>48</v>
      </c>
      <c r="B23" s="7">
        <v>1.0</v>
      </c>
      <c r="C23" s="7">
        <v>27.0</v>
      </c>
      <c r="D23" s="7">
        <v>3.7</v>
      </c>
      <c r="E23" s="7">
        <v>7.5</v>
      </c>
      <c r="F23" s="7">
        <v>195.0</v>
      </c>
      <c r="G23" s="4">
        <f t="shared" si="1"/>
        <v>190.3</v>
      </c>
    </row>
    <row r="24" ht="15.75" customHeight="1">
      <c r="A24" s="1" t="s">
        <v>49</v>
      </c>
      <c r="B24" s="4">
        <v>1.0</v>
      </c>
      <c r="C24" s="4">
        <v>0.2</v>
      </c>
      <c r="D24" s="4">
        <v>3.6</v>
      </c>
      <c r="E24" s="4">
        <v>0.1</v>
      </c>
      <c r="F24" s="4">
        <v>17.2</v>
      </c>
      <c r="G24" s="4">
        <f t="shared" si="1"/>
        <v>16.1</v>
      </c>
    </row>
    <row r="25" ht="15.75" customHeight="1">
      <c r="A25" s="1" t="s">
        <v>29</v>
      </c>
      <c r="B25" s="4">
        <v>100.0</v>
      </c>
      <c r="C25" s="4">
        <v>3.5</v>
      </c>
      <c r="D25" s="4">
        <v>15.4</v>
      </c>
      <c r="E25" s="4">
        <v>3.0</v>
      </c>
      <c r="F25" s="4">
        <v>103.0</v>
      </c>
      <c r="G25" s="4">
        <f t="shared" si="1"/>
        <v>102.6</v>
      </c>
    </row>
    <row r="26" ht="15.75" customHeight="1">
      <c r="A26" s="9" t="s">
        <v>50</v>
      </c>
      <c r="B26" s="7">
        <v>100.0</v>
      </c>
      <c r="C26" s="7">
        <v>0.0</v>
      </c>
      <c r="D26" s="7">
        <v>24.8</v>
      </c>
      <c r="E26" s="7">
        <v>0.6</v>
      </c>
      <c r="F26" s="7">
        <v>104.0</v>
      </c>
      <c r="G26" s="4">
        <f t="shared" si="1"/>
        <v>104.6</v>
      </c>
    </row>
    <row r="27" ht="15.75" customHeight="1">
      <c r="A27" s="1" t="s">
        <v>28</v>
      </c>
      <c r="B27" s="4">
        <v>100.0</v>
      </c>
      <c r="C27" s="4">
        <v>1.0</v>
      </c>
      <c r="D27" s="4">
        <v>16.0</v>
      </c>
      <c r="E27" s="4">
        <v>8.0</v>
      </c>
      <c r="F27" s="4">
        <v>140.0</v>
      </c>
      <c r="G27" s="4">
        <f t="shared" si="1"/>
        <v>140</v>
      </c>
    </row>
    <row r="28" ht="15.75" customHeight="1">
      <c r="A28" s="1" t="s">
        <v>51</v>
      </c>
      <c r="B28" s="4">
        <v>1.0</v>
      </c>
      <c r="C28" s="4">
        <v>6.8</v>
      </c>
      <c r="D28" s="4">
        <v>21.0</v>
      </c>
      <c r="E28" s="4">
        <v>3.0</v>
      </c>
      <c r="F28" s="4">
        <v>140.0</v>
      </c>
      <c r="G28" s="4">
        <f t="shared" si="1"/>
        <v>138.2</v>
      </c>
    </row>
    <row r="29" ht="15.75" customHeight="1">
      <c r="A29" s="1" t="s">
        <v>11</v>
      </c>
      <c r="B29" s="4">
        <v>1.0</v>
      </c>
      <c r="C29" s="4">
        <v>6.7</v>
      </c>
      <c r="D29" s="4">
        <v>21.0</v>
      </c>
      <c r="E29" s="4">
        <v>0.0</v>
      </c>
      <c r="F29" s="4">
        <v>116.0</v>
      </c>
      <c r="G29" s="4">
        <f t="shared" si="1"/>
        <v>110.8</v>
      </c>
    </row>
    <row r="30" ht="15.75" customHeight="1">
      <c r="A30" s="1" t="s">
        <v>52</v>
      </c>
      <c r="B30" s="4">
        <v>1.0</v>
      </c>
      <c r="C30" s="4">
        <v>11.2</v>
      </c>
      <c r="D30" s="4">
        <v>20.0</v>
      </c>
      <c r="E30" s="4">
        <v>0.0</v>
      </c>
      <c r="F30" s="4">
        <v>130.0</v>
      </c>
      <c r="G30" s="4">
        <f t="shared" si="1"/>
        <v>124.8</v>
      </c>
    </row>
    <row r="31" ht="15.75" customHeight="1">
      <c r="A31" s="1" t="s">
        <v>53</v>
      </c>
      <c r="B31" s="4">
        <v>1.0</v>
      </c>
      <c r="C31" s="4">
        <v>15.0</v>
      </c>
      <c r="D31" s="4">
        <v>3.0</v>
      </c>
      <c r="E31" s="4">
        <v>3.0</v>
      </c>
      <c r="F31" s="4">
        <v>100.0</v>
      </c>
      <c r="G31" s="4">
        <f t="shared" si="1"/>
        <v>99</v>
      </c>
    </row>
    <row r="32" ht="15.75" customHeight="1">
      <c r="A32" s="1" t="s">
        <v>54</v>
      </c>
      <c r="B32" s="4">
        <v>100.0</v>
      </c>
      <c r="C32" s="4">
        <v>70.4</v>
      </c>
      <c r="D32" s="4">
        <v>12.0</v>
      </c>
      <c r="E32" s="4">
        <v>2.6</v>
      </c>
      <c r="F32" s="4">
        <v>353.0</v>
      </c>
      <c r="G32" s="4">
        <f t="shared" si="1"/>
        <v>353</v>
      </c>
    </row>
    <row r="33" ht="15.75" customHeight="1">
      <c r="A33" s="9" t="s">
        <v>55</v>
      </c>
      <c r="B33" s="7">
        <v>100.0</v>
      </c>
      <c r="C33" s="7">
        <v>41.0</v>
      </c>
      <c r="D33" s="7">
        <v>13.0</v>
      </c>
      <c r="E33" s="7">
        <v>3.0</v>
      </c>
      <c r="F33" s="7">
        <v>247.0</v>
      </c>
      <c r="G33" s="4">
        <f t="shared" si="1"/>
        <v>243</v>
      </c>
    </row>
    <row r="34" ht="15.75" customHeight="1">
      <c r="A34" s="9" t="s">
        <v>56</v>
      </c>
      <c r="B34" s="7">
        <v>100.0</v>
      </c>
      <c r="C34" s="7">
        <v>41.1</v>
      </c>
      <c r="D34" s="7">
        <v>6.0</v>
      </c>
      <c r="E34" s="7">
        <v>0.8</v>
      </c>
      <c r="F34" s="7">
        <v>207.0</v>
      </c>
      <c r="G34" s="4">
        <f t="shared" si="1"/>
        <v>195.6</v>
      </c>
    </row>
    <row r="35" ht="15.75" customHeight="1">
      <c r="A35" s="9" t="s">
        <v>57</v>
      </c>
      <c r="B35" s="7">
        <v>1.0</v>
      </c>
      <c r="C35" s="7">
        <v>68.0</v>
      </c>
      <c r="D35" s="7">
        <v>10.0</v>
      </c>
      <c r="E35" s="7">
        <v>5.0</v>
      </c>
      <c r="F35" s="7">
        <v>360.0</v>
      </c>
      <c r="G35" s="4">
        <f t="shared" si="1"/>
        <v>357</v>
      </c>
    </row>
    <row r="36" ht="15.75" customHeight="1">
      <c r="A36" s="9" t="s">
        <v>58</v>
      </c>
      <c r="B36" s="7">
        <v>1.0</v>
      </c>
      <c r="C36" s="7">
        <v>45.0</v>
      </c>
      <c r="D36" s="7">
        <v>7.0</v>
      </c>
      <c r="E36" s="7">
        <v>13.0</v>
      </c>
      <c r="F36" s="7">
        <v>325.0</v>
      </c>
      <c r="G36" s="4">
        <f t="shared" si="1"/>
        <v>325</v>
      </c>
    </row>
    <row r="37" ht="15.75" customHeight="1">
      <c r="A37" s="1" t="s">
        <v>59</v>
      </c>
      <c r="B37" s="4">
        <v>100.0</v>
      </c>
      <c r="C37" s="4">
        <v>78.6</v>
      </c>
      <c r="D37" s="4">
        <v>6.4</v>
      </c>
      <c r="E37" s="4">
        <v>0.8</v>
      </c>
      <c r="F37" s="4">
        <v>351.0</v>
      </c>
      <c r="G37" s="4">
        <f t="shared" si="1"/>
        <v>347.2</v>
      </c>
    </row>
    <row r="38" ht="15.75" customHeight="1">
      <c r="A38" s="1" t="s">
        <v>60</v>
      </c>
      <c r="B38" s="4">
        <v>100.0</v>
      </c>
      <c r="C38" s="4">
        <v>78.2</v>
      </c>
      <c r="D38" s="4">
        <v>11.3</v>
      </c>
      <c r="E38" s="4">
        <v>0.0</v>
      </c>
      <c r="F38" s="4">
        <v>350.0</v>
      </c>
      <c r="G38" s="4">
        <f t="shared" si="1"/>
        <v>358</v>
      </c>
    </row>
    <row r="39" ht="15.75" customHeight="1">
      <c r="A39" s="9" t="s">
        <v>61</v>
      </c>
      <c r="B39" s="7">
        <v>100.0</v>
      </c>
      <c r="C39" s="7">
        <v>0.0</v>
      </c>
      <c r="D39" s="7">
        <v>17.0</v>
      </c>
      <c r="E39" s="7">
        <v>22.0</v>
      </c>
      <c r="F39" s="7">
        <v>274.0</v>
      </c>
      <c r="G39" s="4">
        <f t="shared" si="1"/>
        <v>266</v>
      </c>
    </row>
    <row r="40" ht="15.75" customHeight="1">
      <c r="A40" s="1" t="s">
        <v>62</v>
      </c>
      <c r="B40" s="4">
        <v>100.0</v>
      </c>
      <c r="C40" s="4">
        <v>76.0</v>
      </c>
      <c r="D40" s="4">
        <v>0.0</v>
      </c>
      <c r="E40" s="4">
        <v>0.0</v>
      </c>
      <c r="F40" s="4">
        <v>304.0</v>
      </c>
      <c r="G40" s="4">
        <f t="shared" si="1"/>
        <v>304</v>
      </c>
    </row>
    <row r="41" ht="15.75" customHeight="1">
      <c r="A41" s="1" t="s">
        <v>13</v>
      </c>
      <c r="B41" s="4">
        <v>100.0</v>
      </c>
      <c r="C41" s="4">
        <v>3.5</v>
      </c>
      <c r="D41" s="4">
        <v>0.0</v>
      </c>
      <c r="E41" s="4">
        <v>0.0</v>
      </c>
      <c r="F41" s="4">
        <v>15.0</v>
      </c>
      <c r="G41" s="4">
        <f t="shared" si="1"/>
        <v>14</v>
      </c>
    </row>
    <row r="42" ht="15.75" customHeight="1">
      <c r="A42" s="9" t="s">
        <v>14</v>
      </c>
      <c r="B42" s="7">
        <v>1.0</v>
      </c>
      <c r="C42" s="7">
        <v>23.0</v>
      </c>
      <c r="D42" s="7">
        <v>15.0</v>
      </c>
      <c r="E42" s="7">
        <v>8.9</v>
      </c>
      <c r="F42" s="7">
        <v>212.0</v>
      </c>
      <c r="G42" s="4">
        <f t="shared" si="1"/>
        <v>232.1</v>
      </c>
    </row>
    <row r="43" ht="15.75" customHeight="1">
      <c r="A43" s="1" t="s">
        <v>63</v>
      </c>
      <c r="B43" s="4">
        <v>100.0</v>
      </c>
      <c r="C43" s="4">
        <v>3.3</v>
      </c>
      <c r="D43" s="4">
        <v>3.0</v>
      </c>
      <c r="E43" s="4">
        <v>0.3</v>
      </c>
      <c r="F43" s="4">
        <v>22.0</v>
      </c>
      <c r="G43" s="4">
        <f t="shared" si="1"/>
        <v>27.9</v>
      </c>
    </row>
    <row r="44" ht="15.75" customHeight="1">
      <c r="A44" s="9" t="s">
        <v>64</v>
      </c>
      <c r="B44" s="7">
        <v>100.0</v>
      </c>
      <c r="C44" s="7">
        <v>5.0</v>
      </c>
      <c r="D44" s="7">
        <v>2.5</v>
      </c>
      <c r="E44" s="7">
        <v>0.2</v>
      </c>
      <c r="F44" s="7">
        <v>26.0</v>
      </c>
      <c r="G44" s="4">
        <f t="shared" si="1"/>
        <v>31.8</v>
      </c>
    </row>
    <row r="45" ht="15.75" customHeight="1">
      <c r="A45" s="1" t="s">
        <v>65</v>
      </c>
      <c r="B45" s="4">
        <v>100.0</v>
      </c>
      <c r="C45" s="4">
        <v>38.0</v>
      </c>
      <c r="D45" s="4">
        <v>9.6</v>
      </c>
      <c r="E45" s="4">
        <v>1.7</v>
      </c>
      <c r="F45" s="4">
        <v>216.0</v>
      </c>
      <c r="G45" s="4">
        <f t="shared" si="1"/>
        <v>205.7</v>
      </c>
    </row>
    <row r="46" ht="15.75" customHeight="1">
      <c r="A46" s="9" t="s">
        <v>12</v>
      </c>
      <c r="B46" s="7">
        <v>100.0</v>
      </c>
      <c r="C46" s="7">
        <v>45.0</v>
      </c>
      <c r="D46" s="7">
        <v>9.3</v>
      </c>
      <c r="E46" s="7">
        <v>1.4</v>
      </c>
      <c r="F46" s="7">
        <v>236.0</v>
      </c>
      <c r="G46" s="4">
        <f t="shared" si="1"/>
        <v>229.8</v>
      </c>
    </row>
    <row r="47" ht="15.75" customHeight="1">
      <c r="A47" s="9" t="s">
        <v>66</v>
      </c>
      <c r="B47" s="7">
        <v>100.0</v>
      </c>
      <c r="C47" s="7">
        <v>29.8</v>
      </c>
      <c r="D47" s="7">
        <v>12.4</v>
      </c>
      <c r="E47" s="7">
        <v>0.9</v>
      </c>
      <c r="F47" s="7">
        <v>216.0</v>
      </c>
      <c r="G47" s="4">
        <f t="shared" si="1"/>
        <v>176.9</v>
      </c>
    </row>
    <row r="48" ht="15.75" customHeight="1">
      <c r="A48" s="2" t="s">
        <v>67</v>
      </c>
      <c r="B48" s="3">
        <v>100.0</v>
      </c>
      <c r="C48" s="3">
        <v>34.0</v>
      </c>
      <c r="D48" s="3">
        <v>8.0</v>
      </c>
      <c r="E48" s="3">
        <v>1.9</v>
      </c>
      <c r="F48" s="3">
        <v>198.0</v>
      </c>
      <c r="G48" s="4">
        <f t="shared" si="1"/>
        <v>185.1</v>
      </c>
    </row>
    <row r="49" ht="15.75" customHeight="1">
      <c r="A49" s="9" t="s">
        <v>21</v>
      </c>
      <c r="B49" s="7">
        <v>100.0</v>
      </c>
      <c r="C49" s="7">
        <v>71.0</v>
      </c>
      <c r="D49" s="7">
        <v>11.0</v>
      </c>
      <c r="E49" s="7">
        <v>1.5</v>
      </c>
      <c r="F49" s="7">
        <v>349.0</v>
      </c>
      <c r="G49" s="4">
        <f t="shared" si="1"/>
        <v>341.5</v>
      </c>
    </row>
    <row r="50" ht="15.75" customHeight="1">
      <c r="A50" s="1" t="s">
        <v>68</v>
      </c>
      <c r="B50" s="4">
        <v>1.0</v>
      </c>
      <c r="C50" s="4">
        <v>1.1</v>
      </c>
      <c r="D50" s="4">
        <v>3.6</v>
      </c>
      <c r="E50" s="4">
        <v>0.7</v>
      </c>
      <c r="F50" s="4">
        <v>24.0</v>
      </c>
      <c r="G50" s="4">
        <f t="shared" si="1"/>
        <v>25.1</v>
      </c>
    </row>
    <row r="51" ht="15.75" customHeight="1">
      <c r="A51" s="1" t="s">
        <v>69</v>
      </c>
      <c r="B51" s="4">
        <v>100.0</v>
      </c>
      <c r="C51" s="4">
        <v>0.0</v>
      </c>
      <c r="D51" s="4">
        <v>23.0</v>
      </c>
      <c r="E51" s="4">
        <v>9.0</v>
      </c>
      <c r="F51" s="4">
        <v>175.0</v>
      </c>
      <c r="G51" s="4">
        <f t="shared" si="1"/>
        <v>173</v>
      </c>
    </row>
    <row r="52" ht="15.75" customHeight="1">
      <c r="A52" s="1" t="s">
        <v>22</v>
      </c>
      <c r="B52" s="4">
        <v>100.0</v>
      </c>
      <c r="C52" s="4">
        <v>69.0</v>
      </c>
      <c r="D52" s="4">
        <v>11.0</v>
      </c>
      <c r="E52" s="4">
        <v>8.0</v>
      </c>
      <c r="F52" s="4">
        <v>374.0</v>
      </c>
      <c r="G52" s="4">
        <f t="shared" si="1"/>
        <v>392</v>
      </c>
    </row>
    <row r="53" ht="15.75" customHeight="1">
      <c r="A53" s="9" t="s">
        <v>70</v>
      </c>
      <c r="B53" s="7">
        <v>100.0</v>
      </c>
      <c r="C53" s="7">
        <v>1.5</v>
      </c>
      <c r="D53" s="7">
        <v>11.0</v>
      </c>
      <c r="E53" s="7">
        <v>5.0</v>
      </c>
      <c r="F53" s="7">
        <v>95.0</v>
      </c>
      <c r="G53" s="4">
        <f t="shared" si="1"/>
        <v>95</v>
      </c>
    </row>
    <row r="54" ht="15.75" customHeight="1">
      <c r="A54" s="1" t="s">
        <v>71</v>
      </c>
      <c r="B54" s="4">
        <v>100.0</v>
      </c>
      <c r="C54" s="4">
        <v>16.2</v>
      </c>
      <c r="D54" s="4">
        <v>9.4</v>
      </c>
      <c r="E54" s="4">
        <v>0.9</v>
      </c>
      <c r="F54" s="4">
        <v>133.0</v>
      </c>
      <c r="G54" s="4">
        <f t="shared" si="1"/>
        <v>110.5</v>
      </c>
    </row>
    <row r="55" ht="15.75" customHeight="1">
      <c r="A55" s="9" t="s">
        <v>72</v>
      </c>
      <c r="B55" s="7">
        <v>100.0</v>
      </c>
      <c r="C55" s="7">
        <v>3.3</v>
      </c>
      <c r="D55" s="7">
        <v>1.2</v>
      </c>
      <c r="E55" s="7">
        <v>0.2</v>
      </c>
      <c r="F55" s="7">
        <v>16.0</v>
      </c>
      <c r="G55" s="4">
        <f t="shared" si="1"/>
        <v>19.8</v>
      </c>
    </row>
    <row r="56" ht="15.75" customHeight="1">
      <c r="A56" s="1" t="s">
        <v>30</v>
      </c>
      <c r="B56" s="4">
        <v>100.0</v>
      </c>
      <c r="C56" s="4">
        <v>72.0</v>
      </c>
      <c r="D56" s="4">
        <v>10.4</v>
      </c>
      <c r="E56" s="4">
        <v>1.0</v>
      </c>
      <c r="F56" s="4">
        <v>339.0</v>
      </c>
      <c r="G56" s="4">
        <f t="shared" si="1"/>
        <v>338.6</v>
      </c>
    </row>
    <row r="57" ht="15.75" customHeight="1">
      <c r="A57" s="9" t="s">
        <v>73</v>
      </c>
      <c r="B57" s="7">
        <v>1.0</v>
      </c>
      <c r="C57" s="7">
        <v>60.0</v>
      </c>
      <c r="D57" s="7">
        <v>20.0</v>
      </c>
      <c r="E57" s="7">
        <v>10.0</v>
      </c>
      <c r="F57" s="7">
        <v>455.0</v>
      </c>
      <c r="G57" s="4">
        <f t="shared" si="1"/>
        <v>410</v>
      </c>
    </row>
    <row r="58" ht="15.75" customHeight="1">
      <c r="A58" s="1" t="s">
        <v>16</v>
      </c>
      <c r="B58" s="4">
        <v>100.0</v>
      </c>
      <c r="C58" s="4">
        <v>0.0</v>
      </c>
      <c r="D58" s="4">
        <v>0.0</v>
      </c>
      <c r="E58" s="4">
        <v>92.0</v>
      </c>
      <c r="F58" s="4">
        <v>830.0</v>
      </c>
      <c r="G58" s="4">
        <f t="shared" si="1"/>
        <v>828</v>
      </c>
    </row>
    <row r="59" ht="15.75" customHeight="1">
      <c r="A59" s="1" t="s">
        <v>20</v>
      </c>
      <c r="B59" s="4">
        <v>100.0</v>
      </c>
      <c r="C59" s="4">
        <v>5.0</v>
      </c>
      <c r="D59" s="4">
        <v>4.0</v>
      </c>
      <c r="E59" s="4">
        <v>0.8</v>
      </c>
      <c r="F59" s="4">
        <v>50.0</v>
      </c>
      <c r="G59" s="4">
        <f t="shared" si="1"/>
        <v>43.2</v>
      </c>
    </row>
    <row r="60" ht="15.75" customHeight="1">
      <c r="A60" s="1" t="s">
        <v>18</v>
      </c>
      <c r="B60" s="4">
        <v>100.0</v>
      </c>
      <c r="C60" s="4">
        <v>20.0</v>
      </c>
      <c r="D60" s="4">
        <v>1.7</v>
      </c>
      <c r="E60" s="4">
        <v>0.1</v>
      </c>
      <c r="F60" s="4">
        <v>86.0</v>
      </c>
      <c r="G60" s="4">
        <f t="shared" si="1"/>
        <v>87.7</v>
      </c>
    </row>
    <row r="61" ht="15.75" customHeight="1">
      <c r="A61" s="9" t="s">
        <v>74</v>
      </c>
      <c r="B61" s="7">
        <v>100.0</v>
      </c>
      <c r="C61" s="7">
        <v>71.0</v>
      </c>
      <c r="D61" s="7">
        <v>14.4</v>
      </c>
      <c r="E61" s="7">
        <v>1.4</v>
      </c>
      <c r="F61" s="7">
        <v>361.0</v>
      </c>
      <c r="G61" s="4">
        <f t="shared" si="1"/>
        <v>354.2</v>
      </c>
    </row>
    <row r="62" ht="15.75" customHeight="1">
      <c r="A62" s="9" t="s">
        <v>25</v>
      </c>
      <c r="B62" s="7">
        <v>1.0</v>
      </c>
      <c r="C62" s="7">
        <v>12.0</v>
      </c>
      <c r="D62" s="7">
        <v>20.0</v>
      </c>
      <c r="E62" s="7">
        <v>6.0</v>
      </c>
      <c r="F62" s="7">
        <v>190.0</v>
      </c>
      <c r="G62" s="4">
        <f t="shared" si="1"/>
        <v>182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$A$1:$G$62">
    <sortState ref="A1:G62">
      <sortCondition ref="A1:A62"/>
    </sortState>
  </autoFilter>
  <drawing r:id="rId1"/>
</worksheet>
</file>