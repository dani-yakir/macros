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dict!$A$1:$G$57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<sst xmlns="http://schemas.openxmlformats.org/spreadsheetml/2006/main" count="115" uniqueCount="70">
  <si>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</si>
  <si>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</si>
  <si>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</si>
  <si>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</si>
  <si>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</si>
  <si>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</si>
  <si>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</si>
  <si>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</si>
  <si>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</si>
  <si>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</si>
  <si>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</si>
  <si>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 פרו אחוז וחצי</t>
  </si>
  <si>
    <t>פיתות כוסמין מלא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</si>
  <si>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</si>
  <si>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</si>
  <si>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</si>
  <si>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</si>
  <si>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</si>
  <si>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</si>
  <si>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</si>
  <si>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</si>
  <si>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</si>
  <si>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>גרנולה לא מתוקה</t>
  </si>
  <si>
    <t>דבש</t>
  </si>
  <si>
    <t>בננה</t>
  </si>
  <si>
    <t>יוגורט פרו מתוק</t>
  </si>
  <si>
    <t>חטיף חלבון פיסטוק</t>
  </si>
  <si>
    <t>יוגורט פרו זירו</t>
  </si>
  <si>
    <t>פסטרמה</t>
  </si>
  <si>
    <t>אצבעות מוצרלה</t>
  </si>
  <si>
    <t>פיתות כוסמין אנג'ל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</si>
  <si>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</si>
  <si>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</si>
  <si>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</si>
  <si>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</si>
  <si>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</si>
  <si>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</si>
  <si>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</si>
  <si>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</si>
  <si>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</si>
  <si>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</si>
  <si>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</si>
  <si>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</si>
  <si>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</si>
  <si>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</si>
  <si>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</si>
  <si>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</si>
  <si>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</si>
  <si>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</si>
  <si>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</si>
  <si>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</si>
  <si>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</si>
  <si>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</si>
  <si>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</si>
  <si>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</si>
  <si>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</si>
  <si>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</si>
  <si>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</si>
  <si>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</si>
  <si>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</si>
  <si>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</si>
  <si>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קוואקר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</si>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</sst>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6.8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3</v>
      </c>
      <c r="F2" s="4">
        <f>VLOOKUP($A2, dict!$A:$F, 6, false) * $B2 / VLOOKUP($A2, dict!$A:$F, 2, false)</f>
        <v>140</v>
      </c>
      <c r="G2" s="4">
        <f t="shared" ref="G2:J2" si="1">SUM(C:C)</f>
        <v>339.35</v>
      </c>
      <c r="H2" s="4">
        <f t="shared" si="1"/>
        <v>196.9</v>
      </c>
      <c r="I2" s="4">
        <f t="shared" si="1"/>
        <v>54.87</v>
      </c>
      <c r="J2" s="4">
        <f t="shared" si="1"/>
        <v>2649.59</v>
      </c>
      <c r="K2" s="4">
        <f>G2*4 + H2*4 + I2*9</f>
        <v>2638.83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37.4</v>
      </c>
      <c r="D3" s="4">
        <f>VLOOKUP($A3, dict!$A:$F, 4, false) * $B3 / VLOOKUP($A3, dict!$A:$F, 2, false)</f>
        <v>8.8</v>
      </c>
      <c r="E3" s="4">
        <f>VLOOKUP($A3, dict!$A:$F, 5, false) * $B3 / VLOOKUP($A3, dict!$A:$F, 2, false)</f>
        <v>2.09</v>
      </c>
      <c r="F3" s="4">
        <f>VLOOKUP($A3, dict!$A:$F, 6, false) * $B3 / VLOOKUP($A3, dict!$A:$F, 2, false)</f>
        <v>217.8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5.0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4.6</v>
      </c>
      <c r="F8" s="4">
        <f>VLOOKUP($A8, dict!$A:$F, 6, false) * $B8 / VLOOKUP($A8, dict!$A:$F, 2, false)</f>
        <v>41.5</v>
      </c>
    </row>
    <row r="9" ht="15.75" customHeight="1">
      <c r="A9" s="2" t="s">
        <v>17</v>
      </c>
      <c r="B9" s="3">
        <v>180.0</v>
      </c>
      <c r="C9" s="4">
        <f>VLOOKUP($A9, dict!$A:$F, 3, false) * $B9 / VLOOKUP($A9, dict!$A:$F, 2, false)</f>
        <v>16.812</v>
      </c>
      <c r="D9" s="4">
        <f>VLOOKUP($A9, dict!$A:$F, 4, false) * $B9 / VLOOKUP($A9, dict!$A:$F, 2, false)</f>
        <v>1.98</v>
      </c>
      <c r="E9" s="4">
        <f>VLOOKUP($A9, dict!$A:$F, 5, false) * $B9 / VLOOKUP($A9, dict!$A:$F, 2, false)</f>
        <v>0.18</v>
      </c>
      <c r="F9" s="4">
        <f>VLOOKUP($A9, dict!$A:$F, 6, false) * $B9 / VLOOKUP($A9, dict!$A:$F, 2, false)</f>
        <v>72</v>
      </c>
    </row>
    <row r="10" ht="15.75" customHeight="1">
      <c r="A10" s="2" t="s">
        <v>18</v>
      </c>
      <c r="B10" s="3">
        <v>390.0</v>
      </c>
      <c r="C10" s="4">
        <f>VLOOKUP($A10, dict!$A:$F, 3, false) * $B10 / VLOOKUP($A10, dict!$A:$F, 2, false)</f>
        <v>78</v>
      </c>
      <c r="D10" s="4">
        <f>VLOOKUP($A10, dict!$A:$F, 4, false) * $B10 / VLOOKUP($A10, dict!$A:$F, 2, false)</f>
        <v>6.63</v>
      </c>
      <c r="E10" s="4">
        <f>VLOOKUP($A10, dict!$A:$F, 5, false) * $B10 / VLOOKUP($A10, dict!$A:$F, 2, false)</f>
        <v>0.39</v>
      </c>
      <c r="F10" s="4">
        <f>VLOOKUP($A10, dict!$A:$F, 6, false) * $B10 / VLOOKUP($A10, dict!$A:$F, 2, false)</f>
        <v>335.4</v>
      </c>
    </row>
    <row r="11" ht="15.75" customHeight="1">
      <c r="A11" s="2" t="s">
        <v>19</v>
      </c>
      <c r="B11" s="3">
        <v>193.0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48.25</v>
      </c>
      <c r="E11" s="4">
        <f>VLOOKUP($A11, dict!$A:$F, 5, false) * $B11 / VLOOKUP($A11, dict!$A:$F, 2, false)</f>
        <v>4.825</v>
      </c>
      <c r="F11" s="4">
        <f>VLOOKUP($A11, dict!$A:$F, 6, false) * $B11 / VLOOKUP($A11, dict!$A:$F, 2, false)</f>
        <v>231.6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30.0</v>
      </c>
      <c r="C14" s="4">
        <f>VLOOKUP($A14, dict!$A:$F, 3, false) * $B14 / VLOOKUP($A14, dict!$A:$F, 2, false)</f>
        <v>15.54</v>
      </c>
      <c r="D14" s="4">
        <f>VLOOKUP($A14, dict!$A:$F, 4, false) * $B14 / VLOOKUP($A14, dict!$A:$F, 2, false)</f>
        <v>4.41</v>
      </c>
      <c r="E14" s="4">
        <f>VLOOKUP($A14, dict!$A:$F, 5, false) * $B14 / VLOOKUP($A14, dict!$A:$F, 2, false)</f>
        <v>4.35</v>
      </c>
      <c r="F14" s="4">
        <f>VLOOKUP($A14, dict!$A:$F, 6, false) * $B14 / VLOOKUP($A14, dict!$A:$F, 2, false)</f>
        <v>115.2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5.0</v>
      </c>
      <c r="C16" s="4">
        <f>VLOOKUP($A16, dict!$A:$F, 3, false) * $B16 / VLOOKUP($A16, dict!$A:$F, 2, false)</f>
        <v>4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16</v>
      </c>
      <c r="G16" s="4"/>
    </row>
    <row r="17" ht="15.75" customHeight="1">
      <c r="A17" s="2" t="s">
        <v>24</v>
      </c>
      <c r="B17" s="3">
        <v>127.0</v>
      </c>
      <c r="C17" s="4">
        <f>VLOOKUP($A17, dict!$A:$F, 3, false) * $B17 / VLOOKUP($A17, dict!$A:$F, 2, false)</f>
        <v>29.718</v>
      </c>
      <c r="D17" s="4">
        <f>VLOOKUP($A17, dict!$A:$F, 4, false) * $B17 / VLOOKUP($A17, dict!$A:$F, 2, false)</f>
        <v>1.27</v>
      </c>
      <c r="E17" s="4">
        <f>VLOOKUP($A17, dict!$A:$F, 5, false) * $B17 / VLOOKUP($A17, dict!$A:$F, 2, false)</f>
        <v>0.635</v>
      </c>
      <c r="F17" s="4">
        <f>VLOOKUP($A17, dict!$A:$F, 6, false) * $B17 / VLOOKUP($A17, dict!$A:$F, 2, false)</f>
        <v>116.84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26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27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28</v>
      </c>
      <c r="B22" s="5">
        <v>5.0</v>
      </c>
      <c r="C22" s="4">
        <f>VLOOKUP($A22, dict!$A:$F, 3, false) * $B22 / VLOOKUP($A22, dict!$A:$F, 2, false)</f>
        <v>5.5</v>
      </c>
      <c r="D22" s="4">
        <f>VLOOKUP($A22, dict!$A:$F, 4, false) * $B22 / VLOOKUP($A22, dict!$A:$F, 2, false)</f>
        <v>18</v>
      </c>
      <c r="E22" s="4">
        <f>VLOOKUP($A22, dict!$A:$F, 5, false) * $B22 / VLOOKUP($A22, dict!$A:$F, 2, false)</f>
        <v>3.5</v>
      </c>
      <c r="F22" s="4">
        <f>VLOOKUP($A22, dict!$A:$F, 6, false) * $B22 / VLOOKUP($A22, dict!$A:$F, 2, false)</f>
        <v>120</v>
      </c>
    </row>
    <row r="23" ht="15.75" customHeight="1">
      <c r="A23" s="2" t="s">
        <v>29</v>
      </c>
      <c r="B23" s="5">
        <v>2.0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10.4</v>
      </c>
      <c r="E23" s="4">
        <f>VLOOKUP($A23, dict!$A:$F, 5, false) * $B23 / VLOOKUP($A23, dict!$A:$F, 2, false)</f>
        <v>8.6</v>
      </c>
      <c r="F23" s="4">
        <f>VLOOKUP($A23, dict!$A:$F, 6, false) * $B23 / VLOOKUP($A23, dict!$A:$F, 2, false)</f>
        <v>118</v>
      </c>
    </row>
    <row r="24" ht="15.75" customHeight="1">
      <c r="A24" s="2" t="s">
        <v>12</v>
      </c>
      <c r="B24" s="5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23</v>
      </c>
      <c r="B25" s="5">
        <v>10.0</v>
      </c>
      <c r="C25" s="4">
        <f>VLOOKUP($A25, dict!$A:$F, 3, false) * $B25 / VLOOKUP($A25, dict!$A:$F, 2, false)</f>
        <v>8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32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30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27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28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7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29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22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41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42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26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43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44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45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46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47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11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27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48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49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50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51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52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53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54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55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56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57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30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58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12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59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28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60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61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62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63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64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65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66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67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68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69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7">
    <sortState ref="A1:G57">
      <sortCondition ref="A1:A57"/>
    </sortState>
  </autoFilter>
  <drawing r:id="rId1"/>
</worksheet>
</file>