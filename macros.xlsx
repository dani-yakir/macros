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<sst xmlns="http://schemas.openxmlformats.org/spreadsheetml/2006/main" count="117" uniqueCount="72">
  <si>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</si>
  <si>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</si>
  <si>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</si>
  <si>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</si>
  <si>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</si>
  <si>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</si>
  <si>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</si>
  <si>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</si>
  <si>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</si>
  <si>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</si>
  <si>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</si>
  <si>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</si>
  <si>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</si>
  <si>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</si>
  <si>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</si>
  <si>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</si>
  <si>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</si>
  <si>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</si>
  <si>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</si>
  <si>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</si>
  <si>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</si>
  <si>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</si>
  <si>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</si>
  <si>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</si>
  <si>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</si>
  <si>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</si>
  <si>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</si>
  <si>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</si>
  <si>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</si>
  <si>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מלא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</si>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</sst>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368.0748</v>
      </c>
      <c r="H2" s="4">
        <f t="shared" si="1"/>
        <v>181.014</v>
      </c>
      <c r="I2" s="4">
        <f t="shared" si="1"/>
        <v>46.418</v>
      </c>
      <c r="J2" s="4">
        <f t="shared" si="1"/>
        <v>2648.63</v>
      </c>
      <c r="K2" s="4">
        <f>G2*4 + H2*4 + I2*9</f>
        <v>2614.1172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0.0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0</v>
      </c>
      <c r="F8" s="4">
        <f>VLOOKUP($A8, dict!$A:$F, 6, false) * $B8 / VLOOKUP($A8, dict!$A:$F, 2, false)</f>
        <v>0</v>
      </c>
    </row>
    <row r="9" ht="15.75" customHeight="1">
      <c r="A9" s="2" t="s">
        <v>17</v>
      </c>
      <c r="B9" s="3">
        <v>162.0</v>
      </c>
      <c r="C9" s="4">
        <f>VLOOKUP($A9, dict!$A:$F, 3, false) * $B9 / VLOOKUP($A9, dict!$A:$F, 2, false)</f>
        <v>15.1308</v>
      </c>
      <c r="D9" s="4">
        <f>VLOOKUP($A9, dict!$A:$F, 4, false) * $B9 / VLOOKUP($A9, dict!$A:$F, 2, false)</f>
        <v>1.782</v>
      </c>
      <c r="E9" s="4">
        <f>VLOOKUP($A9, dict!$A:$F, 5, false) * $B9 / VLOOKUP($A9, dict!$A:$F, 2, false)</f>
        <v>0.162</v>
      </c>
      <c r="F9" s="4">
        <f>VLOOKUP($A9, dict!$A:$F, 6, false) * $B9 / VLOOKUP($A9, dict!$A:$F, 2, false)</f>
        <v>64.8</v>
      </c>
    </row>
    <row r="10" ht="15.75" customHeight="1">
      <c r="A10" s="2" t="s">
        <v>18</v>
      </c>
      <c r="B10" s="3">
        <v>356.0</v>
      </c>
      <c r="C10" s="4">
        <f>VLOOKUP($A10, dict!$A:$F, 3, false) * $B10 / VLOOKUP($A10, dict!$A:$F, 2, false)</f>
        <v>71.2</v>
      </c>
      <c r="D10" s="4">
        <f>VLOOKUP($A10, dict!$A:$F, 4, false) * $B10 / VLOOKUP($A10, dict!$A:$F, 2, false)</f>
        <v>6.052</v>
      </c>
      <c r="E10" s="4">
        <f>VLOOKUP($A10, dict!$A:$F, 5, false) * $B10 / VLOOKUP($A10, dict!$A:$F, 2, false)</f>
        <v>0.356</v>
      </c>
      <c r="F10" s="4">
        <f>VLOOKUP($A10, dict!$A:$F, 6, false) * $B10 / VLOOKUP($A10, dict!$A:$F, 2, false)</f>
        <v>306.16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96.0</v>
      </c>
      <c r="C17" s="4">
        <f>VLOOKUP($A17, dict!$A:$F, 3, false) * $B17 / VLOOKUP($A17, dict!$A:$F, 2, false)</f>
        <v>22.464</v>
      </c>
      <c r="D17" s="4">
        <f>VLOOKUP($A17, dict!$A:$F, 4, false) * $B17 / VLOOKUP($A17, dict!$A:$F, 2, false)</f>
        <v>0.96</v>
      </c>
      <c r="E17" s="4">
        <f>VLOOKUP($A17, dict!$A:$F, 5, false) * $B17 / VLOOKUP($A17, dict!$A:$F, 2, false)</f>
        <v>0.48</v>
      </c>
      <c r="F17" s="4">
        <f>VLOOKUP($A17, dict!$A:$F, 6, false) * $B17 / VLOOKUP($A17, dict!$A:$F, 2, false)</f>
        <v>88.32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50.0</v>
      </c>
      <c r="C22" s="4">
        <f>VLOOKUP($A22, dict!$A:$F, 3, false) * $B22 / VLOOKUP($A22, dict!$A:$F, 2, false)</f>
        <v>36</v>
      </c>
      <c r="D22" s="4">
        <f>VLOOKUP($A22, dict!$A:$F, 4, false) * $B22 / VLOOKUP($A22, dict!$A:$F, 2, false)</f>
        <v>8</v>
      </c>
      <c r="E22" s="4">
        <f>VLOOKUP($A22, dict!$A:$F, 5, false) * $B22 / VLOOKUP($A22, dict!$A:$F, 2, false)</f>
        <v>2</v>
      </c>
      <c r="F22" s="4">
        <f>VLOOKUP($A22, dict!$A:$F, 6, false) * $B22 / VLOOKUP($A22, dict!$A:$F, 2, false)</f>
        <v>198.5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29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23</v>
      </c>
      <c r="B25" s="5">
        <v>10.0</v>
      </c>
      <c r="C25" s="4">
        <f>VLOOKUP($A25, dict!$A:$F, 3, false) * $B25 / VLOOKUP($A25, dict!$A:$F, 2, false)</f>
        <v>8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32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29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