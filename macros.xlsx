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<sst xmlns="http://schemas.openxmlformats.org/spreadsheetml/2006/main" count="117" uniqueCount="72">
  <si>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</si>
  <si>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</si>
  <si>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</si>
  <si>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</si>
  <si>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</si>
  <si>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</si>
  <si>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</si>
  <si>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</si>
  <si>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</si>
  <si>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</si>
  <si>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</si>
  <si>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</si>
  <si>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</si>
  <si>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</si>
  <si>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</si>
  <si>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</si>
  <si>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</si>
  <si>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</si>
  <si>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</si>
  <si>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</si>
  <si>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</si>
  <si>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</si>
  <si>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</si>
  <si>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</si>
  <si>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</si>
  <si>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</si>
  <si>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חטיף חלבון פיסטוק</t>
  </si>
  <si>
    <t>גיינר</t>
  </si>
  <si>
    <t>אצבעות מוצרלה</t>
  </si>
  <si>
    <t>פיתות כוסמין מלא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</si>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</sst>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335.9144</v>
      </c>
      <c r="H2" s="4">
        <f t="shared" si="1"/>
        <v>194.492</v>
      </c>
      <c r="I2" s="4">
        <f t="shared" si="1"/>
        <v>65.974</v>
      </c>
      <c r="J2" s="4">
        <f t="shared" si="1"/>
        <v>2735.85</v>
      </c>
      <c r="K2" s="4">
        <f>G2*4 + H2*4 + I2*9</f>
        <v>2715.3916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0.5</v>
      </c>
      <c r="C5" s="4">
        <f>VLOOKUP($A5, dict!$A:$F, 3, false) * $B5 / VLOOKUP($A5, dict!$A:$F, 2, false)</f>
        <v>11.5</v>
      </c>
      <c r="D5" s="4">
        <f>VLOOKUP($A5, dict!$A:$F, 4, false) * $B5 / VLOOKUP($A5, dict!$A:$F, 2, false)</f>
        <v>7.5</v>
      </c>
      <c r="E5" s="4">
        <f>VLOOKUP($A5, dict!$A:$F, 5, false) * $B5 / VLOOKUP($A5, dict!$A:$F, 2, false)</f>
        <v>4.45</v>
      </c>
      <c r="F5" s="4">
        <f>VLOOKUP($A5, dict!$A:$F, 6, false) * $B5 / VLOOKUP($A5, dict!$A:$F, 2, false)</f>
        <v>106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10.0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9.2</v>
      </c>
      <c r="F7" s="4">
        <f>VLOOKUP($A7, dict!$A:$F, 6, false) * $B7 / VLOOKUP($A7, dict!$A:$F, 2, false)</f>
        <v>83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156.0</v>
      </c>
      <c r="C9" s="4">
        <f>VLOOKUP($A9, dict!$A:$F, 3, false) * $B9 / VLOOKUP($A9, dict!$A:$F, 2, false)</f>
        <v>14.5704</v>
      </c>
      <c r="D9" s="4">
        <f>VLOOKUP($A9, dict!$A:$F, 4, false) * $B9 / VLOOKUP($A9, dict!$A:$F, 2, false)</f>
        <v>1.716</v>
      </c>
      <c r="E9" s="4">
        <f>VLOOKUP($A9, dict!$A:$F, 5, false) * $B9 / VLOOKUP($A9, dict!$A:$F, 2, false)</f>
        <v>0.156</v>
      </c>
      <c r="F9" s="4">
        <f>VLOOKUP($A9, dict!$A:$F, 6, false) * $B9 / VLOOKUP($A9, dict!$A:$F, 2, false)</f>
        <v>62.4</v>
      </c>
    </row>
    <row r="10" ht="15.75" customHeight="1">
      <c r="A10" s="2" t="s">
        <v>18</v>
      </c>
      <c r="B10" s="3">
        <v>288.0</v>
      </c>
      <c r="C10" s="4">
        <f>VLOOKUP($A10, dict!$A:$F, 3, false) * $B10 / VLOOKUP($A10, dict!$A:$F, 2, false)</f>
        <v>57.6</v>
      </c>
      <c r="D10" s="4">
        <f>VLOOKUP($A10, dict!$A:$F, 4, false) * $B10 / VLOOKUP($A10, dict!$A:$F, 2, false)</f>
        <v>4.896</v>
      </c>
      <c r="E10" s="4">
        <f>VLOOKUP($A10, dict!$A:$F, 5, false) * $B10 / VLOOKUP($A10, dict!$A:$F, 2, false)</f>
        <v>0.288</v>
      </c>
      <c r="F10" s="4">
        <f>VLOOKUP($A10, dict!$A:$F, 6, false) * $B10 / VLOOKUP($A10, dict!$A:$F, 2, false)</f>
        <v>247.68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25.2</v>
      </c>
      <c r="D14" s="4">
        <f>VLOOKUP($A14, dict!$A:$F, 4, false) * $B14 / VLOOKUP($A14, dict!$A:$F, 2, false)</f>
        <v>3.6</v>
      </c>
      <c r="E14" s="4">
        <f>VLOOKUP($A14, dict!$A:$F, 5, false) * $B14 / VLOOKUP($A14, dict!$A:$F, 2, false)</f>
        <v>6</v>
      </c>
      <c r="F14" s="4">
        <f>VLOOKUP($A14, dict!$A:$F, 6, false) * $B14 / VLOOKUP($A14, dict!$A:$F, 2, false)</f>
        <v>174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0.0</v>
      </c>
      <c r="C16" s="4">
        <f>VLOOKUP($A16, dict!$A:$F, 3, false) * $B16 / VLOOKUP($A16, dict!$A:$F, 2, false)</f>
        <v>0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0</v>
      </c>
      <c r="G16" s="4"/>
    </row>
    <row r="17" ht="15.75" customHeight="1">
      <c r="A17" s="2" t="s">
        <v>24</v>
      </c>
      <c r="B17" s="3">
        <v>96.0</v>
      </c>
      <c r="C17" s="4">
        <f>VLOOKUP($A17, dict!$A:$F, 3, false) * $B17 / VLOOKUP($A17, dict!$A:$F, 2, false)</f>
        <v>22.464</v>
      </c>
      <c r="D17" s="4">
        <f>VLOOKUP($A17, dict!$A:$F, 4, false) * $B17 / VLOOKUP($A17, dict!$A:$F, 2, false)</f>
        <v>0.96</v>
      </c>
      <c r="E17" s="4">
        <f>VLOOKUP($A17, dict!$A:$F, 5, false) * $B17 / VLOOKUP($A17, dict!$A:$F, 2, false)</f>
        <v>0.48</v>
      </c>
      <c r="F17" s="4">
        <f>VLOOKUP($A17, dict!$A:$F, 6, false) * $B17 / VLOOKUP($A17, dict!$A:$F, 2, false)</f>
        <v>88.32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0.0</v>
      </c>
      <c r="C20" s="4">
        <f>VLOOKUP($A20, dict!$A:$F, 3, false) * $B20 / VLOOKUP($A20, dict!$A:$F, 2, false)</f>
        <v>0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0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27</v>
      </c>
      <c r="B22" s="5">
        <v>40.0</v>
      </c>
      <c r="C22" s="4">
        <f>VLOOKUP($A22, dict!$A:$F, 3, false) * $B22 / VLOOKUP($A22, dict!$A:$F, 2, false)</f>
        <v>28.8</v>
      </c>
      <c r="D22" s="4">
        <f>VLOOKUP($A22, dict!$A:$F, 4, false) * $B22 / VLOOKUP($A22, dict!$A:$F, 2, false)</f>
        <v>6.4</v>
      </c>
      <c r="E22" s="4">
        <f>VLOOKUP($A22, dict!$A:$F, 5, false) * $B22 / VLOOKUP($A22, dict!$A:$F, 2, false)</f>
        <v>1.6</v>
      </c>
      <c r="F22" s="4">
        <f>VLOOKUP($A22, dict!$A:$F, 6, false) * $B22 / VLOOKUP($A22, dict!$A:$F, 2, false)</f>
        <v>158.8</v>
      </c>
    </row>
    <row r="23" ht="15.75" customHeight="1">
      <c r="A23" s="2" t="s">
        <v>28</v>
      </c>
      <c r="B23" s="5">
        <v>4.0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20.8</v>
      </c>
      <c r="E23" s="4">
        <f>VLOOKUP($A23, dict!$A:$F, 5, false) * $B23 / VLOOKUP($A23, dict!$A:$F, 2, false)</f>
        <v>17.2</v>
      </c>
      <c r="F23" s="4">
        <f>VLOOKUP($A23, dict!$A:$F, 6, false) * $B23 / VLOOKUP($A23, dict!$A:$F, 2, false)</f>
        <v>236</v>
      </c>
    </row>
    <row r="24" ht="15.75" customHeight="1">
      <c r="A24" s="2" t="s">
        <v>29</v>
      </c>
      <c r="B24" s="5">
        <v>90.0</v>
      </c>
      <c r="C24" s="4">
        <f>VLOOKUP($A24, dict!$A:$F, 3, false) * $B24 / VLOOKUP($A24, dict!$A:$F, 2, false)</f>
        <v>30.6</v>
      </c>
      <c r="D24" s="4">
        <f>VLOOKUP($A24, dict!$A:$F, 4, false) * $B24 / VLOOKUP($A24, dict!$A:$F, 2, false)</f>
        <v>7.2</v>
      </c>
      <c r="E24" s="4">
        <f>VLOOKUP($A24, dict!$A:$F, 5, false) * $B24 / VLOOKUP($A24, dict!$A:$F, 2, false)</f>
        <v>1.71</v>
      </c>
      <c r="F24" s="4">
        <f>VLOOKUP($A24, dict!$A:$F, 6, false) * $B24 / VLOOKUP($A24, dict!$A:$F, 2, false)</f>
        <v>178.2</v>
      </c>
    </row>
    <row r="25" ht="15.75" customHeight="1">
      <c r="A25" s="2" t="s">
        <v>23</v>
      </c>
      <c r="B25" s="5"/>
      <c r="C25" s="4">
        <f>VLOOKUP($A25, dict!$A:$F, 3, false) * $B25 / VLOOKUP($A25, dict!$A:$F, 2, false)</f>
        <v>0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0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28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44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45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46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47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48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51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52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53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54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55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56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57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58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59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60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29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61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63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27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