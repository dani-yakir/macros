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<sst xmlns="http://schemas.openxmlformats.org/spreadsheetml/2006/main" count="117" uniqueCount="72">
  <si>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</si>
  <si>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</si>
  <si>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</si>
  <si>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</si>
  <si>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</si>
  <si>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</si>
  <si>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</si>
  <si>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</si>
  <si>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</si>
  <si>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</si>
  <si>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</si>
  <si>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</si>
  <si>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מלא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</si>
  <si>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</si>
  <si>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</si>
  <si>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</si>
  <si>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</si>
  <si>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</si>
  <si>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</si>
  <si>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</si>
  <si>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</si>
  <si>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</si>
  <si>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</si>
  <si>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</si>
  <si>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</si>
  <si>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</si>
  <si>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</si>
  <si>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</si>
  <si>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</si>
  <si>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פיתות כוסמין אנג'ל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</si>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</sst>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356.6288</v>
      </c>
      <c r="H2" s="4">
        <f t="shared" si="1"/>
        <v>178.664</v>
      </c>
      <c r="I2" s="4">
        <f t="shared" si="1"/>
        <v>45.293</v>
      </c>
      <c r="J2" s="4">
        <f t="shared" si="1"/>
        <v>2581.85</v>
      </c>
      <c r="K2" s="4">
        <f>G2*4 + H2*4 + I2*9</f>
        <v>2548.8082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37.4</v>
      </c>
      <c r="D3" s="4">
        <f>VLOOKUP($A3, dict!$A:$F, 4, false) * $B3 / VLOOKUP($A3, dict!$A:$F, 2, false)</f>
        <v>8.8</v>
      </c>
      <c r="E3" s="4">
        <f>VLOOKUP($A3, dict!$A:$F, 5, false) * $B3 / VLOOKUP($A3, dict!$A:$F, 2, false)</f>
        <v>2.09</v>
      </c>
      <c r="F3" s="4">
        <f>VLOOKUP($A3, dict!$A:$F, 6, false) * $B3 / VLOOKUP($A3, dict!$A:$F, 2, false)</f>
        <v>217.8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0.0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0</v>
      </c>
      <c r="F8" s="4">
        <f>VLOOKUP($A8, dict!$A:$F, 6, false) * $B8 / VLOOKUP($A8, dict!$A:$F, 2, false)</f>
        <v>0</v>
      </c>
    </row>
    <row r="9" ht="15.75" customHeight="1">
      <c r="A9" s="2" t="s">
        <v>17</v>
      </c>
      <c r="B9" s="3">
        <v>162.0</v>
      </c>
      <c r="C9" s="4">
        <f>VLOOKUP($A9, dict!$A:$F, 3, false) * $B9 / VLOOKUP($A9, dict!$A:$F, 2, false)</f>
        <v>15.1308</v>
      </c>
      <c r="D9" s="4">
        <f>VLOOKUP($A9, dict!$A:$F, 4, false) * $B9 / VLOOKUP($A9, dict!$A:$F, 2, false)</f>
        <v>1.782</v>
      </c>
      <c r="E9" s="4">
        <f>VLOOKUP($A9, dict!$A:$F, 5, false) * $B9 / VLOOKUP($A9, dict!$A:$F, 2, false)</f>
        <v>0.162</v>
      </c>
      <c r="F9" s="4">
        <f>VLOOKUP($A9, dict!$A:$F, 6, false) * $B9 / VLOOKUP($A9, dict!$A:$F, 2, false)</f>
        <v>64.8</v>
      </c>
    </row>
    <row r="10" ht="15.75" customHeight="1">
      <c r="A10" s="2" t="s">
        <v>18</v>
      </c>
      <c r="B10" s="3">
        <v>356.0</v>
      </c>
      <c r="C10" s="4">
        <f>VLOOKUP($A10, dict!$A:$F, 3, false) * $B10 / VLOOKUP($A10, dict!$A:$F, 2, false)</f>
        <v>71.2</v>
      </c>
      <c r="D10" s="4">
        <f>VLOOKUP($A10, dict!$A:$F, 4, false) * $B10 / VLOOKUP($A10, dict!$A:$F, 2, false)</f>
        <v>6.052</v>
      </c>
      <c r="E10" s="4">
        <f>VLOOKUP($A10, dict!$A:$F, 5, false) * $B10 / VLOOKUP($A10, dict!$A:$F, 2, false)</f>
        <v>0.356</v>
      </c>
      <c r="F10" s="4">
        <f>VLOOKUP($A10, dict!$A:$F, 6, false) * $B10 / VLOOKUP($A10, dict!$A:$F, 2, false)</f>
        <v>306.16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30.0</v>
      </c>
      <c r="C14" s="4">
        <f>VLOOKUP($A14, dict!$A:$F, 3, false) * $B14 / VLOOKUP($A14, dict!$A:$F, 2, false)</f>
        <v>18.9</v>
      </c>
      <c r="D14" s="4">
        <f>VLOOKUP($A14, dict!$A:$F, 4, false) * $B14 / VLOOKUP($A14, dict!$A:$F, 2, false)</f>
        <v>2.7</v>
      </c>
      <c r="E14" s="4">
        <f>VLOOKUP($A14, dict!$A:$F, 5, false) * $B14 / VLOOKUP($A14, dict!$A:$F, 2, false)</f>
        <v>4.5</v>
      </c>
      <c r="F14" s="4">
        <f>VLOOKUP($A14, dict!$A:$F, 6, false) * $B14 / VLOOKUP($A14, dict!$A:$F, 2, false)</f>
        <v>130.5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127.0</v>
      </c>
      <c r="C17" s="4">
        <f>VLOOKUP($A17, dict!$A:$F, 3, false) * $B17 / VLOOKUP($A17, dict!$A:$F, 2, false)</f>
        <v>29.718</v>
      </c>
      <c r="D17" s="4">
        <f>VLOOKUP($A17, dict!$A:$F, 4, false) * $B17 / VLOOKUP($A17, dict!$A:$F, 2, false)</f>
        <v>1.27</v>
      </c>
      <c r="E17" s="4">
        <f>VLOOKUP($A17, dict!$A:$F, 5, false) * $B17 / VLOOKUP($A17, dict!$A:$F, 2, false)</f>
        <v>0.635</v>
      </c>
      <c r="F17" s="4">
        <f>VLOOKUP($A17, dict!$A:$F, 6, false) * $B17 / VLOOKUP($A17, dict!$A:$F, 2, false)</f>
        <v>116.84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50.0</v>
      </c>
      <c r="C22" s="4">
        <f>VLOOKUP($A22, dict!$A:$F, 3, false) * $B22 / VLOOKUP($A22, dict!$A:$F, 2, false)</f>
        <v>36</v>
      </c>
      <c r="D22" s="4">
        <f>VLOOKUP($A22, dict!$A:$F, 4, false) * $B22 / VLOOKUP($A22, dict!$A:$F, 2, false)</f>
        <v>8</v>
      </c>
      <c r="E22" s="4">
        <f>VLOOKUP($A22, dict!$A:$F, 5, false) * $B22 / VLOOKUP($A22, dict!$A:$F, 2, false)</f>
        <v>2</v>
      </c>
      <c r="F22" s="4">
        <f>VLOOKUP($A22, dict!$A:$F, 6, false) * $B22 / VLOOKUP($A22, dict!$A:$F, 2, false)</f>
        <v>198.5</v>
      </c>
    </row>
    <row r="23" ht="15.75" customHeight="1">
      <c r="A23" s="2" t="s">
        <v>28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12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23</v>
      </c>
      <c r="B25" s="5">
        <v>0.0</v>
      </c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29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44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45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46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47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48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51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52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53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54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56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59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29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60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12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