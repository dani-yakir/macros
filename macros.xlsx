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<sst xmlns="http://schemas.openxmlformats.org/spreadsheetml/2006/main" count="117" uniqueCount="72">
  <si>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</si>
  <si>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</si>
  <si>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</si>
  <si>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</si>
  <si>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</si>
  <si>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</si>
  <si>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</si>
  <si>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</si>
  <si>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</si>
  <si>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</si>
  <si>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</si>
  <si>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</si>
  <si>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מלא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</si>
  <si>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</si>
  <si>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</si>
  <si>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</si>
  <si>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</si>
  <si>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</si>
  <si>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</si>
  <si>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</si>
  <si>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</si>
  <si>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</si>
  <si>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</si>
  <si>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</si>
  <si>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</si>
  <si>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</si>
  <si>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</si>
  <si>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</si>
  <si>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</si>
  <si>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אנג'ל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</si>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</sst>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363.6748</v>
      </c>
      <c r="H2" s="4">
        <f t="shared" si="1"/>
        <v>179.254</v>
      </c>
      <c r="I2" s="4">
        <f t="shared" si="1"/>
        <v>46.638</v>
      </c>
      <c r="J2" s="4">
        <f t="shared" si="1"/>
        <v>2628.83</v>
      </c>
      <c r="K2" s="4">
        <f>G2*4 + H2*4 + I2*9</f>
        <v>2591.4572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37.4</v>
      </c>
      <c r="D3" s="4">
        <f>VLOOKUP($A3, dict!$A:$F, 4, false) * $B3 / VLOOKUP($A3, dict!$A:$F, 2, false)</f>
        <v>8.8</v>
      </c>
      <c r="E3" s="4">
        <f>VLOOKUP($A3, dict!$A:$F, 5, false) * $B3 / VLOOKUP($A3, dict!$A:$F, 2, false)</f>
        <v>2.09</v>
      </c>
      <c r="F3" s="4">
        <f>VLOOKUP($A3, dict!$A:$F, 6, false) * $B3 / VLOOKUP($A3, dict!$A:$F, 2, false)</f>
        <v>217.8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25.2</v>
      </c>
      <c r="D14" s="4">
        <f>VLOOKUP($A14, dict!$A:$F, 4, false) * $B14 / VLOOKUP($A14, dict!$A:$F, 2, false)</f>
        <v>3.6</v>
      </c>
      <c r="E14" s="4">
        <f>VLOOKUP($A14, dict!$A:$F, 5, false) * $B14 / VLOOKUP($A14, dict!$A:$F, 2, false)</f>
        <v>6</v>
      </c>
      <c r="F14" s="4">
        <f>VLOOKUP($A14, dict!$A:$F, 6, false) * $B14 / VLOOKUP($A14, dict!$A:$F, 2, false)</f>
        <v>174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96.0</v>
      </c>
      <c r="C17" s="4">
        <f>VLOOKUP($A17, dict!$A:$F, 3, false) * $B17 / VLOOKUP($A17, dict!$A:$F, 2, false)</f>
        <v>22.464</v>
      </c>
      <c r="D17" s="4">
        <f>VLOOKUP($A17, dict!$A:$F, 4, false) * $B17 / VLOOKUP($A17, dict!$A:$F, 2, false)</f>
        <v>0.96</v>
      </c>
      <c r="E17" s="4">
        <f>VLOOKUP($A17, dict!$A:$F, 5, false) * $B17 / VLOOKUP($A17, dict!$A:$F, 2, false)</f>
        <v>0.48</v>
      </c>
      <c r="F17" s="4">
        <f>VLOOKUP($A17, dict!$A:$F, 6, false) * $B17 / VLOOKUP($A17, dict!$A:$F, 2, false)</f>
        <v>88.32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29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29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12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