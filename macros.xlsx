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<sst xmlns="http://schemas.openxmlformats.org/spreadsheetml/2006/main" count="119" uniqueCount="72">
  <si>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</si>
  <si>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</si>
  <si>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</si>
  <si>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</si>
  <si>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</si>
  <si>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</si>
  <si>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</si>
  <si>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</si>
  <si>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</si>
  <si>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</si>
  <si>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</si>
  <si>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</si>
  <si>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</si>
  <si>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</si>
  <si>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</si>
  <si>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</si>
  <si>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</si>
  <si>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</si>
  <si>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</si>
  <si>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</si>
  <si>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</si>
  <si>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</si>
  <si>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>קוואקר</t>
  </si>
  <si>
    <t>דבש</t>
  </si>
  <si>
    <t>בננה</t>
  </si>
  <si>
    <t>יוגורט פרו מתוק</t>
  </si>
  <si>
    <t>גיינר</t>
  </si>
  <si>
    <t>אצבעות מוצרלה</t>
  </si>
  <si>
    <t>נודלס אורז</t>
  </si>
  <si>
    <t>טופו קשה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</si>
  <si>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</si>
  <si>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</si>
  <si>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</si>
  <si>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</si>
  <si>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</si>
  <si>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</si>
  <si>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</si>
  <si>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</si>
  <si>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</si>
  <si>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</si>
  <si>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</si>
  <si>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</si>
  <si>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</si>
  <si>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</si>
  <si>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חלבון פיסטוק</t>
  </si>
  <si>
    <t>חטיף נטור ואלי</t>
  </si>
  <si>
    <t>חלבון ביצה</t>
  </si>
  <si>
    <t>טבורוג שלוש אחוז</t>
  </si>
  <si>
    <t>טונה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</si>
  <si>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</si>
  <si>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</si>
  <si>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</si>
  <si>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</si>
  <si>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</si>
  <si>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</si>
  <si>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</si>
  <si>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</si>
  <si>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</si>
  <si>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</si>
  <si>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</si>
  <si>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פיתות כוסמין מלא</t>
  </si>
  <si>
    <t>פסטה אוסם</t>
  </si>
  <si>
    <t>פרגית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</si>
  <si>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</si>
  <si>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</si>
  <si>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</si>
  <si>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</si>
  <si>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</si>
  <si>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</si>
  <si>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</si>
  <si>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</si>
  <si>
    <t xml:space="preserve">גרנולה שוקולד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</si>
</sst>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$&quot;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422.604</v>
      </c>
      <c r="H2" s="4">
        <f t="shared" si="1"/>
        <v>203.57</v>
      </c>
      <c r="I2" s="4">
        <f t="shared" si="1"/>
        <v>52.82</v>
      </c>
      <c r="J2" s="4">
        <f t="shared" si="1"/>
        <v>3014.95</v>
      </c>
      <c r="K2" s="4">
        <f>G2*4 + H2*4 + I2*9</f>
        <v>2980.076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260.0</v>
      </c>
      <c r="C9" s="4">
        <f>VLOOKUP($A9, dict!$A:$F, 3, false) * $B9 / VLOOKUP($A9, dict!$A:$F, 2, false)</f>
        <v>24.284</v>
      </c>
      <c r="D9" s="4">
        <f>VLOOKUP($A9, dict!$A:$F, 4, false) * $B9 / VLOOKUP($A9, dict!$A:$F, 2, false)</f>
        <v>2.86</v>
      </c>
      <c r="E9" s="4">
        <f>VLOOKUP($A9, dict!$A:$F, 5, false) * $B9 / VLOOKUP($A9, dict!$A:$F, 2, false)</f>
        <v>0.26</v>
      </c>
      <c r="F9" s="4">
        <f>VLOOKUP($A9, dict!$A:$F, 6, false) * $B9 / VLOOKUP($A9, dict!$A:$F, 2, false)</f>
        <v>104</v>
      </c>
    </row>
    <row r="10" ht="15.75" customHeight="1">
      <c r="A10" s="2" t="s">
        <v>18</v>
      </c>
      <c r="B10" s="5">
        <v>250.0</v>
      </c>
      <c r="C10" s="6">
        <f>VLOOKUP($A10, dict!$A:$F, 3, false) * $B10 / VLOOKUP($A10, dict!$A:$F, 2, false)</f>
        <v>50</v>
      </c>
      <c r="D10" s="6">
        <f>VLOOKUP($A10, dict!$A:$F, 4, false) * $B10 / VLOOKUP($A10, dict!$A:$F, 2, false)</f>
        <v>4.25</v>
      </c>
      <c r="E10" s="6">
        <f>VLOOKUP($A10, dict!$A:$F, 5, false) * $B10 / VLOOKUP($A10, dict!$A:$F, 2, false)</f>
        <v>0.25</v>
      </c>
      <c r="F10" s="6">
        <f>VLOOKUP($A10, dict!$A:$F, 6, false) * $B10 / VLOOKUP($A10, dict!$A:$F, 2, false)</f>
        <v>215</v>
      </c>
    </row>
    <row r="11" ht="15.75" customHeight="1">
      <c r="A11" s="2" t="s">
        <v>19</v>
      </c>
      <c r="B11" s="3">
        <v>180.0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45</v>
      </c>
      <c r="E11" s="4">
        <f>VLOOKUP($A11, dict!$A:$F, 5, false) * $B11 / VLOOKUP($A11, dict!$A:$F, 2, false)</f>
        <v>4.5</v>
      </c>
      <c r="F11" s="4">
        <f>VLOOKUP($A11, dict!$A:$F, 6, false) * $B11 / VLOOKUP($A11, dict!$A:$F, 2, false)</f>
        <v>216</v>
      </c>
    </row>
    <row r="12" ht="15.75" customHeight="1">
      <c r="A12" s="2" t="s">
        <v>20</v>
      </c>
      <c r="B12" s="3">
        <v>55.0</v>
      </c>
      <c r="C12" s="4">
        <f>VLOOKUP($A12, dict!$A:$F, 3, false) * $B12 / VLOOKUP($A12, dict!$A:$F, 2, false)</f>
        <v>38.72</v>
      </c>
      <c r="D12" s="4">
        <f>VLOOKUP($A12, dict!$A:$F, 4, false) * $B12 / VLOOKUP($A12, dict!$A:$F, 2, false)</f>
        <v>6.6</v>
      </c>
      <c r="E12" s="4">
        <f>VLOOKUP($A12, dict!$A:$F, 5, false) * $B12 / VLOOKUP($A12, dict!$A:$F, 2, false)</f>
        <v>1.43</v>
      </c>
      <c r="F12" s="4">
        <f>VLOOKUP($A12, dict!$A:$F, 6, false) * $B12 / VLOOKUP($A12, dict!$A:$F, 2, false)</f>
        <v>194.15</v>
      </c>
    </row>
    <row r="13" ht="15.75" customHeight="1">
      <c r="A13" s="2" t="s">
        <v>21</v>
      </c>
      <c r="B13" s="3">
        <v>55.0</v>
      </c>
      <c r="C13" s="4">
        <f>VLOOKUP($A13, dict!$A:$F, 3, false) * $B13 / VLOOKUP($A13, dict!$A:$F, 2, false)</f>
        <v>42.9</v>
      </c>
      <c r="D13" s="4">
        <f>VLOOKUP($A13, dict!$A:$F, 4, false) * $B13 / VLOOKUP($A13, dict!$A:$F, 2, false)</f>
        <v>4.84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192.5</v>
      </c>
    </row>
    <row r="14" ht="15.75" customHeight="1">
      <c r="A14" s="2" t="s">
        <v>22</v>
      </c>
      <c r="B14" s="3">
        <v>50.0</v>
      </c>
      <c r="C14" s="4">
        <f>VLOOKUP($A14, dict!$A:$F, 3, false) * $B14 / VLOOKUP($A14, dict!$A:$F, 2, false)</f>
        <v>34.5</v>
      </c>
      <c r="D14" s="4">
        <f>VLOOKUP($A14, dict!$A:$F, 4, false) * $B14 / VLOOKUP($A14, dict!$A:$F, 2, false)</f>
        <v>5.5</v>
      </c>
      <c r="E14" s="4">
        <f>VLOOKUP($A14, dict!$A:$F, 5, false) * $B14 / VLOOKUP($A14, dict!$A:$F, 2, false)</f>
        <v>4</v>
      </c>
      <c r="F14" s="4">
        <f>VLOOKUP($A14, dict!$A:$F, 6, false) * $B14 / VLOOKUP($A14, dict!$A:$F, 2, false)</f>
        <v>187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0.0</v>
      </c>
      <c r="C17" s="4">
        <f>VLOOKUP($A17, dict!$A:$F, 3, false) * $B17 / VLOOKUP($A17, dict!$A:$F, 2, false)</f>
        <v>0</v>
      </c>
      <c r="D17" s="4">
        <f>VLOOKUP($A17, dict!$A:$F, 4, false) * $B17 / VLOOKUP($A17, dict!$A:$F, 2, false)</f>
        <v>0</v>
      </c>
      <c r="E17" s="4">
        <f>VLOOKUP($A17, dict!$A:$F, 5, false) * $B17 / VLOOKUP($A17, dict!$A:$F, 2, false)</f>
        <v>0</v>
      </c>
      <c r="F17" s="4">
        <f>VLOOKUP($A17, dict!$A:$F, 6, false) * $B17 / VLOOKUP($A17, dict!$A:$F, 2, false)</f>
        <v>0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23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7">
        <v>0.0</v>
      </c>
      <c r="C20" s="4">
        <f>VLOOKUP($A20, dict!$A:$F, 3, false) * $B20 / VLOOKUP($A20, dict!$A:$F, 2, false)</f>
        <v>0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0</v>
      </c>
    </row>
    <row r="21" ht="15.75" customHeight="1">
      <c r="A21" s="2" t="s">
        <v>11</v>
      </c>
      <c r="B21" s="7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26</v>
      </c>
      <c r="B22" s="7">
        <v>150.0</v>
      </c>
      <c r="C22" s="4">
        <f>VLOOKUP($A22, dict!$A:$F, 3, false) * $B22 / VLOOKUP($A22, dict!$A:$F, 2, false)</f>
        <v>108</v>
      </c>
      <c r="D22" s="4">
        <f>VLOOKUP($A22, dict!$A:$F, 4, false) * $B22 / VLOOKUP($A22, dict!$A:$F, 2, false)</f>
        <v>24</v>
      </c>
      <c r="E22" s="4">
        <f>VLOOKUP($A22, dict!$A:$F, 5, false) * $B22 / VLOOKUP($A22, dict!$A:$F, 2, false)</f>
        <v>6</v>
      </c>
      <c r="F22" s="4">
        <f>VLOOKUP($A22, dict!$A:$F, 6, false) * $B22 / VLOOKUP($A22, dict!$A:$F, 2, false)</f>
        <v>595.5</v>
      </c>
    </row>
    <row r="23" ht="15.75" customHeight="1">
      <c r="A23" s="2" t="s">
        <v>27</v>
      </c>
      <c r="B23" s="7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12</v>
      </c>
      <c r="B24" s="7">
        <v>110.0</v>
      </c>
      <c r="C24" s="4">
        <f>VLOOKUP($A24, dict!$A:$F, 3, false) * $B24 / VLOOKUP($A24, dict!$A:$F, 2, false)</f>
        <v>41.8</v>
      </c>
      <c r="D24" s="4">
        <f>VLOOKUP($A24, dict!$A:$F, 4, false) * $B24 / VLOOKUP($A24, dict!$A:$F, 2, false)</f>
        <v>10.56</v>
      </c>
      <c r="E24" s="4">
        <f>VLOOKUP($A24, dict!$A:$F, 5, false) * $B24 / VLOOKUP($A24, dict!$A:$F, 2, false)</f>
        <v>1.87</v>
      </c>
      <c r="F24" s="4">
        <f>VLOOKUP($A24, dict!$A:$F, 6, false) * $B24 / VLOOKUP($A24, dict!$A:$F, 2, false)</f>
        <v>237.6</v>
      </c>
    </row>
    <row r="25" ht="15.75" customHeight="1">
      <c r="A25" s="2" t="s">
        <v>22</v>
      </c>
      <c r="B25" s="7">
        <v>0.0</v>
      </c>
      <c r="C25" s="4">
        <f>VLOOKUP($A25, dict!$A:$F, 3, false) * $B25 / VLOOKUP($A25, dict!$A:$F, 2, false)</f>
        <v>0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0</v>
      </c>
    </row>
    <row r="26" ht="15.75" customHeight="1">
      <c r="A26" s="2" t="s">
        <v>28</v>
      </c>
      <c r="B26" s="7">
        <v>0.0</v>
      </c>
      <c r="C26" s="4">
        <f>VLOOKUP($A26, dict!$A:$F, 3, false) * $B26 / VLOOKUP($A26, dict!$A:$F, 2, false)</f>
        <v>0</v>
      </c>
      <c r="D26" s="4">
        <f>VLOOKUP($A26, dict!$A:$F, 4, false) * $B26 / VLOOKUP($A26, dict!$A:$F, 2, false)</f>
        <v>0</v>
      </c>
      <c r="E26" s="4">
        <f>VLOOKUP($A26, dict!$A:$F, 5, false) * $B26 / VLOOKUP($A26, dict!$A:$F, 2, false)</f>
        <v>0</v>
      </c>
      <c r="F26" s="4">
        <f>VLOOKUP($A26, dict!$A:$F, 6, false) * $B26 / VLOOKUP($A26, dict!$A:$F, 2, false)</f>
        <v>0</v>
      </c>
    </row>
    <row r="27" ht="15.75" customHeight="1">
      <c r="A27" s="2" t="s">
        <v>29</v>
      </c>
      <c r="B27" s="7">
        <v>0.0</v>
      </c>
      <c r="C27" s="4">
        <f>VLOOKUP($A27, dict!$A:$F, 3, false) * $B27 / VLOOKUP($A27, dict!$A:$F, 2, false)</f>
        <v>0</v>
      </c>
      <c r="D27" s="4">
        <f>VLOOKUP($A27, dict!$A:$F, 4, false) * $B27 / VLOOKUP($A27, dict!$A:$F, 2, false)</f>
        <v>0</v>
      </c>
      <c r="E27" s="4">
        <f>VLOOKUP($A27, dict!$A:$F, 5, false) * $B27 / VLOOKUP($A27, dict!$A:$F, 2, false)</f>
        <v>0</v>
      </c>
      <c r="F27" s="4">
        <f>VLOOKUP($A27, dict!$A:$F, 6, false) * $B27 / VLOOKUP($A27, dict!$A:$F, 2, false)</f>
        <v>0</v>
      </c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  <row r="1001" ht="15.75" customHeight="1">
      <c r="A1001" s="8"/>
    </row>
    <row r="1002" ht="15.75" customHeight="1">
      <c r="A1002" s="8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8"/>
    </row>
    <row r="222" ht="15.75" customHeight="1">
      <c r="A222" s="8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9" t="s">
        <v>36</v>
      </c>
      <c r="B4" s="7">
        <v>1.0</v>
      </c>
      <c r="C4" s="7">
        <v>19.1</v>
      </c>
      <c r="D4" s="7">
        <v>20.0</v>
      </c>
      <c r="E4" s="7">
        <v>10.9</v>
      </c>
      <c r="F4" s="7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27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9" t="s">
        <v>38</v>
      </c>
      <c r="B8" s="7">
        <v>100.0</v>
      </c>
      <c r="C8" s="7">
        <v>20.1</v>
      </c>
      <c r="D8" s="7">
        <v>1.6</v>
      </c>
      <c r="E8" s="7">
        <v>0.0</v>
      </c>
      <c r="F8" s="7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9" t="s">
        <v>39</v>
      </c>
      <c r="B12" s="7">
        <v>100.0</v>
      </c>
      <c r="C12" s="7">
        <v>10.0</v>
      </c>
      <c r="D12" s="7">
        <v>0.0</v>
      </c>
      <c r="E12" s="7">
        <v>0.0</v>
      </c>
      <c r="F12" s="7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9" t="s">
        <v>23</v>
      </c>
      <c r="B15" s="7">
        <v>100.0</v>
      </c>
      <c r="C15" s="7">
        <v>80.0</v>
      </c>
      <c r="D15" s="7">
        <v>0.0</v>
      </c>
      <c r="E15" s="7">
        <v>0.0</v>
      </c>
      <c r="F15" s="7">
        <v>320.0</v>
      </c>
      <c r="G15" s="4">
        <f t="shared" si="1"/>
        <v>320</v>
      </c>
    </row>
    <row r="16" ht="15.75" customHeight="1">
      <c r="A16" s="9" t="s">
        <v>42</v>
      </c>
      <c r="B16" s="7">
        <v>4.0</v>
      </c>
      <c r="C16" s="7">
        <v>0.0</v>
      </c>
      <c r="D16" s="7">
        <v>0.0</v>
      </c>
      <c r="E16" s="7">
        <v>2.0</v>
      </c>
      <c r="F16" s="7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9" t="s">
        <v>43</v>
      </c>
      <c r="B18" s="7">
        <v>1.0</v>
      </c>
      <c r="C18" s="7">
        <v>17.0</v>
      </c>
      <c r="D18" s="7">
        <v>21.0</v>
      </c>
      <c r="E18" s="7">
        <v>14.0</v>
      </c>
      <c r="F18" s="3">
        <v>276.0</v>
      </c>
      <c r="G18" s="4">
        <f t="shared" si="1"/>
        <v>278</v>
      </c>
    </row>
    <row r="19" ht="15.75" customHeight="1">
      <c r="A19" s="9" t="s">
        <v>44</v>
      </c>
      <c r="B19" s="7">
        <v>1.0</v>
      </c>
      <c r="C19" s="7">
        <v>21.7</v>
      </c>
      <c r="D19" s="7">
        <v>15.0</v>
      </c>
      <c r="E19" s="7">
        <v>10.0</v>
      </c>
      <c r="F19" s="7">
        <v>212.0</v>
      </c>
      <c r="G19" s="4">
        <f t="shared" si="1"/>
        <v>236.8</v>
      </c>
    </row>
    <row r="20" ht="15.75" customHeight="1">
      <c r="A20" s="9" t="s">
        <v>45</v>
      </c>
      <c r="B20" s="7">
        <v>1.0</v>
      </c>
      <c r="C20" s="7">
        <v>27.0</v>
      </c>
      <c r="D20" s="7">
        <v>3.7</v>
      </c>
      <c r="E20" s="7">
        <v>7.5</v>
      </c>
      <c r="F20" s="7">
        <v>195.0</v>
      </c>
      <c r="G20" s="4">
        <f t="shared" si="1"/>
        <v>190.3</v>
      </c>
    </row>
    <row r="21" ht="15.75" customHeight="1">
      <c r="A21" s="1" t="s">
        <v>46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47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9" t="s">
        <v>48</v>
      </c>
      <c r="B23" s="7">
        <v>100.0</v>
      </c>
      <c r="C23" s="7">
        <v>0.0</v>
      </c>
      <c r="D23" s="7">
        <v>24.8</v>
      </c>
      <c r="E23" s="7">
        <v>0.6</v>
      </c>
      <c r="F23" s="7">
        <v>104.0</v>
      </c>
      <c r="G23" s="4">
        <f t="shared" si="1"/>
        <v>104.6</v>
      </c>
    </row>
    <row r="24" ht="15.75" customHeight="1">
      <c r="A24" s="1" t="s">
        <v>29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9" t="s">
        <v>51</v>
      </c>
      <c r="B30" s="7">
        <v>100.0</v>
      </c>
      <c r="C30" s="7">
        <v>41.0</v>
      </c>
      <c r="D30" s="7">
        <v>13.0</v>
      </c>
      <c r="E30" s="7">
        <v>3.0</v>
      </c>
      <c r="F30" s="7">
        <v>247.0</v>
      </c>
      <c r="G30" s="4">
        <f t="shared" si="1"/>
        <v>243</v>
      </c>
    </row>
    <row r="31" ht="15.75" customHeight="1">
      <c r="A31" s="9" t="s">
        <v>52</v>
      </c>
      <c r="B31" s="7">
        <v>100.0</v>
      </c>
      <c r="C31" s="7">
        <v>41.1</v>
      </c>
      <c r="D31" s="7">
        <v>6.0</v>
      </c>
      <c r="E31" s="7">
        <v>0.8</v>
      </c>
      <c r="F31" s="7">
        <v>207.0</v>
      </c>
      <c r="G31" s="4">
        <f t="shared" si="1"/>
        <v>195.6</v>
      </c>
    </row>
    <row r="32" ht="15.75" customHeight="1">
      <c r="A32" s="9" t="s">
        <v>53</v>
      </c>
      <c r="B32" s="7">
        <v>1.0</v>
      </c>
      <c r="C32" s="7">
        <v>45.0</v>
      </c>
      <c r="D32" s="7">
        <v>7.0</v>
      </c>
      <c r="E32" s="7">
        <v>13.0</v>
      </c>
      <c r="F32" s="7">
        <v>325.0</v>
      </c>
      <c r="G32" s="4">
        <f t="shared" si="1"/>
        <v>325</v>
      </c>
    </row>
    <row r="33" ht="15.75" customHeight="1">
      <c r="A33" s="1" t="s">
        <v>28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54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9" t="s">
        <v>55</v>
      </c>
      <c r="B35" s="7">
        <v>100.0</v>
      </c>
      <c r="C35" s="7">
        <v>0.0</v>
      </c>
      <c r="D35" s="7">
        <v>17.0</v>
      </c>
      <c r="E35" s="7">
        <v>22.0</v>
      </c>
      <c r="F35" s="7">
        <v>274.0</v>
      </c>
      <c r="G35" s="4">
        <f t="shared" si="1"/>
        <v>266</v>
      </c>
    </row>
    <row r="36" ht="15.75" customHeight="1">
      <c r="A36" s="1" t="s">
        <v>56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9" t="s">
        <v>14</v>
      </c>
      <c r="B38" s="7">
        <v>1.0</v>
      </c>
      <c r="C38" s="7">
        <v>23.0</v>
      </c>
      <c r="D38" s="7">
        <v>15.0</v>
      </c>
      <c r="E38" s="7">
        <v>8.9</v>
      </c>
      <c r="F38" s="7">
        <v>212.0</v>
      </c>
      <c r="G38" s="4">
        <f t="shared" si="1"/>
        <v>232.1</v>
      </c>
    </row>
    <row r="39" ht="15.75" customHeight="1">
      <c r="A39" s="1" t="s">
        <v>57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9" t="s">
        <v>58</v>
      </c>
      <c r="B40" s="7">
        <v>100.0</v>
      </c>
      <c r="C40" s="7">
        <v>5.0</v>
      </c>
      <c r="D40" s="7">
        <v>2.5</v>
      </c>
      <c r="E40" s="7">
        <v>0.2</v>
      </c>
      <c r="F40" s="7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9" t="s">
        <v>59</v>
      </c>
      <c r="B42" s="7">
        <v>100.0</v>
      </c>
      <c r="C42" s="7">
        <v>45.0</v>
      </c>
      <c r="D42" s="7">
        <v>9.3</v>
      </c>
      <c r="E42" s="7">
        <v>1.4</v>
      </c>
      <c r="F42" s="7">
        <v>236.0</v>
      </c>
      <c r="G42" s="4">
        <f t="shared" si="1"/>
        <v>229.8</v>
      </c>
    </row>
    <row r="43" ht="15.75" customHeight="1">
      <c r="A43" s="2" t="s">
        <v>60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9" t="s">
        <v>61</v>
      </c>
      <c r="B44" s="7">
        <v>100.0</v>
      </c>
      <c r="C44" s="7">
        <v>71.0</v>
      </c>
      <c r="D44" s="7">
        <v>11.0</v>
      </c>
      <c r="E44" s="7">
        <v>1.5</v>
      </c>
      <c r="F44" s="7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22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9" t="s">
        <v>63</v>
      </c>
      <c r="B48" s="7">
        <v>100.0</v>
      </c>
      <c r="C48" s="7">
        <v>1.5</v>
      </c>
      <c r="D48" s="7">
        <v>11.0</v>
      </c>
      <c r="E48" s="7">
        <v>5.0</v>
      </c>
      <c r="F48" s="7">
        <v>95.0</v>
      </c>
      <c r="G48" s="4">
        <f t="shared" si="1"/>
        <v>95</v>
      </c>
    </row>
    <row r="49" ht="15.75" customHeight="1">
      <c r="A49" s="1" t="s">
        <v>64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9" t="s">
        <v>65</v>
      </c>
      <c r="B50" s="7">
        <v>100.0</v>
      </c>
      <c r="C50" s="7">
        <v>3.3</v>
      </c>
      <c r="D50" s="7">
        <v>1.2</v>
      </c>
      <c r="E50" s="7">
        <v>0.2</v>
      </c>
      <c r="F50" s="7">
        <v>16.0</v>
      </c>
      <c r="G50" s="4">
        <f t="shared" si="1"/>
        <v>19.8</v>
      </c>
    </row>
    <row r="51" ht="15.75" customHeight="1">
      <c r="A51" s="1" t="s">
        <v>66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67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9" t="s">
        <v>68</v>
      </c>
      <c r="B55" s="7">
        <v>1.0</v>
      </c>
      <c r="C55" s="7">
        <v>60.0</v>
      </c>
      <c r="D55" s="7">
        <v>20.0</v>
      </c>
      <c r="E55" s="7">
        <v>10.0</v>
      </c>
      <c r="F55" s="7">
        <v>455.0</v>
      </c>
      <c r="G55" s="4">
        <f t="shared" si="1"/>
        <v>410</v>
      </c>
    </row>
    <row r="56" ht="15.75" customHeight="1">
      <c r="A56" s="9" t="s">
        <v>69</v>
      </c>
      <c r="B56" s="7">
        <v>1.0</v>
      </c>
      <c r="C56" s="7">
        <v>16.0</v>
      </c>
      <c r="D56" s="7">
        <v>18.0</v>
      </c>
      <c r="E56" s="7">
        <v>3.2</v>
      </c>
      <c r="F56" s="7">
        <v>185.0</v>
      </c>
      <c r="G56" s="4">
        <f t="shared" si="1"/>
        <v>164.8</v>
      </c>
    </row>
    <row r="57" ht="15.75" customHeight="1">
      <c r="A57" s="9" t="s">
        <v>70</v>
      </c>
      <c r="B57" s="7">
        <v>100.0</v>
      </c>
      <c r="C57" s="7">
        <v>29.8</v>
      </c>
      <c r="D57" s="7">
        <v>12.4</v>
      </c>
      <c r="E57" s="7">
        <v>0.9</v>
      </c>
      <c r="F57" s="7">
        <v>216.0</v>
      </c>
      <c r="G57" s="4">
        <f t="shared" si="1"/>
        <v>176.9</v>
      </c>
    </row>
    <row r="58" ht="15.75" customHeight="1">
      <c r="A58" s="9" t="s">
        <v>26</v>
      </c>
      <c r="B58" s="7">
        <v>100.0</v>
      </c>
      <c r="C58" s="7">
        <v>72.0</v>
      </c>
      <c r="D58" s="7">
        <v>16.0</v>
      </c>
      <c r="E58" s="7">
        <v>4.0</v>
      </c>
      <c r="F58" s="7">
        <v>397.0</v>
      </c>
      <c r="G58" s="4">
        <f t="shared" si="1"/>
        <v>388</v>
      </c>
    </row>
    <row r="59" ht="15.75" customHeight="1">
      <c r="A59" s="9" t="s">
        <v>71</v>
      </c>
      <c r="B59" s="7">
        <v>100.0</v>
      </c>
      <c r="C59" s="7">
        <v>63.0</v>
      </c>
      <c r="D59" s="7">
        <v>9.0</v>
      </c>
      <c r="E59" s="7">
        <v>15.0</v>
      </c>
      <c r="F59" s="7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